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oló kapacitás és Árbevétel" sheetId="1" r:id="rId5"/>
    <sheet state="visible" name="Évjárat Árbevétel" sheetId="2" r:id="rId6"/>
    <sheet state="visible" name="Költések mediánja  nap" sheetId="3" r:id="rId7"/>
    <sheet state="visible" name="Árbevétel  service  hó" sheetId="4" r:id="rId8"/>
    <sheet state="visible" name="Árbevétel eloszlása usertype" sheetId="5" r:id="rId9"/>
    <sheet state="visible" name="Userek árbevétel" sheetId="6" r:id="rId10"/>
    <sheet state="visible" name="Telefon" sheetId="7" r:id="rId11"/>
    <sheet state="visible" name="Évjárat Autó" sheetId="8" r:id="rId12"/>
    <sheet state="visible" name="Szolgáltatás" sheetId="9" r:id="rId13"/>
    <sheet state="visible" name="Szolgáltatás bevétel  nap" sheetId="10" r:id="rId14"/>
    <sheet state="visible" name="Legtöbb AutóUser" sheetId="11" r:id="rId15"/>
  </sheets>
  <definedNames/>
  <calcPr/>
</workbook>
</file>

<file path=xl/sharedStrings.xml><?xml version="1.0" encoding="utf-8"?>
<sst xmlns="http://schemas.openxmlformats.org/spreadsheetml/2006/main" count="3650" uniqueCount="3640">
  <si>
    <t>Dátum</t>
  </si>
  <si>
    <t>Parkolói kapacitás</t>
  </si>
  <si>
    <t>Napi árbevétel</t>
  </si>
  <si>
    <t>Tranzakcíók száma</t>
  </si>
  <si>
    <t>Parkolóhelyek</t>
  </si>
  <si>
    <t>Évjárat</t>
  </si>
  <si>
    <t>Outdoor (db)</t>
  </si>
  <si>
    <t>Indoor (db)</t>
  </si>
  <si>
    <t>Parking</t>
  </si>
  <si>
    <t>Wash</t>
  </si>
  <si>
    <t>BagWrap</t>
  </si>
  <si>
    <t>Windshield</t>
  </si>
  <si>
    <t>Other</t>
  </si>
  <si>
    <t>Összes tranzakció</t>
  </si>
  <si>
    <t>SUM Bevétel</t>
  </si>
  <si>
    <t>Egyéb/Külföldi</t>
  </si>
  <si>
    <t>1990-1991</t>
  </si>
  <si>
    <t>Medián</t>
  </si>
  <si>
    <t>Minimum (Pozitív)</t>
  </si>
  <si>
    <t>Maximum</t>
  </si>
  <si>
    <t>Tranzakciók mennyisége</t>
  </si>
  <si>
    <t>honap</t>
  </si>
  <si>
    <t>parking</t>
  </si>
  <si>
    <t>car_wash</t>
  </si>
  <si>
    <t>windshield</t>
  </si>
  <si>
    <t>bagw</t>
  </si>
  <si>
    <t>havi_osszesen</t>
  </si>
  <si>
    <t>P Típusa</t>
  </si>
  <si>
    <t>Parkolás száma</t>
  </si>
  <si>
    <t>Össz bevétel</t>
  </si>
  <si>
    <t>Outdoor</t>
  </si>
  <si>
    <t>Indoor</t>
  </si>
  <si>
    <t>osszes_tranzakcio</t>
  </si>
  <si>
    <t>osszes_bevetel</t>
  </si>
  <si>
    <t>outdoor</t>
  </si>
  <si>
    <t>indoor</t>
  </si>
  <si>
    <t>topstep</t>
  </si>
  <si>
    <t>usertype</t>
  </si>
  <si>
    <t>usertypesum</t>
  </si>
  <si>
    <t>Aktivitás napja</t>
  </si>
  <si>
    <t>User összes/nap</t>
  </si>
  <si>
    <t>employee_db</t>
  </si>
  <si>
    <t>guest_db</t>
  </si>
  <si>
    <t>registered_db</t>
  </si>
  <si>
    <t>Hónap</t>
  </si>
  <si>
    <t>Össz új user</t>
  </si>
  <si>
    <t>Új guest user</t>
  </si>
  <si>
    <t>Új registered user</t>
  </si>
  <si>
    <t>guest</t>
  </si>
  <si>
    <t>registered</t>
  </si>
  <si>
    <t>employee</t>
  </si>
  <si>
    <t>Új User</t>
  </si>
  <si>
    <t>Guest User</t>
  </si>
  <si>
    <t>Registered User</t>
  </si>
  <si>
    <t>Guest_bevetel</t>
  </si>
  <si>
    <t>Registered_bevetel</t>
  </si>
  <si>
    <t>Havi SUM bevetel</t>
  </si>
  <si>
    <t>Társaság</t>
  </si>
  <si>
    <t>Userek</t>
  </si>
  <si>
    <t>Piaci Százalék</t>
  </si>
  <si>
    <t>Telekom</t>
  </si>
  <si>
    <t>Yettel</t>
  </si>
  <si>
    <t>Vodafone</t>
  </si>
  <si>
    <t>Digi</t>
  </si>
  <si>
    <t>Tesco Mobile</t>
  </si>
  <si>
    <t>Darab</t>
  </si>
  <si>
    <t>Parkolt napok száma</t>
  </si>
  <si>
    <t>Egyedi / Ismeretlen</t>
  </si>
  <si>
    <t>szolgaltatas_megnevezese</t>
  </si>
  <si>
    <t>sikeres_tranzakciok_szama</t>
  </si>
  <si>
    <t>tiszta_arbevetel</t>
  </si>
  <si>
    <t>carWash</t>
  </si>
  <si>
    <t>bagWrapping</t>
  </si>
  <si>
    <t>windshieldRepair</t>
  </si>
  <si>
    <t>other</t>
  </si>
  <si>
    <t>Car Wash</t>
  </si>
  <si>
    <t>Bag Wrap</t>
  </si>
  <si>
    <t>Napi SUM</t>
  </si>
  <si>
    <t>(NULL)</t>
  </si>
  <si>
    <t>userid</t>
  </si>
  <si>
    <t>emailaddress</t>
  </si>
  <si>
    <t>phonenumber</t>
  </si>
  <si>
    <t>osszes_fizetésük</t>
  </si>
  <si>
    <t>osszes_auto_szama</t>
  </si>
  <si>
    <t>osszes_koltes</t>
  </si>
  <si>
    <t>user_2phudBSqi8ToasE8OlzRl6dimxt</t>
  </si>
  <si>
    <t>rita.macsinka@gmail.com</t>
  </si>
  <si>
    <t>user_2l6rHBm2RBFHANhwqpUm2tlIk1N</t>
  </si>
  <si>
    <t>zeze@c2.hu</t>
  </si>
  <si>
    <t>user_2jx3XD20Dgk3p5AnQlhZZXvMLHG</t>
  </si>
  <si>
    <t>info@parkandbark.hu</t>
  </si>
  <si>
    <t>user_2r7U4f0A2qzqNxCEAhzlpRqRHSm</t>
  </si>
  <si>
    <t>bog.jani.90@gmail.com</t>
  </si>
  <si>
    <t>user_2kkWJI0Dwurt2GkgCuQP7ORN8v4</t>
  </si>
  <si>
    <t>raczti@freemail.hu</t>
  </si>
  <si>
    <t>user_2nb9AZNL1CA703i05WsrCWRXlVJ</t>
  </si>
  <si>
    <t>aattila0825@gmail.com</t>
  </si>
  <si>
    <t>user_2lxkw9eHWJtSAb6MOowRO2wI7JO</t>
  </si>
  <si>
    <t>szoko.sandor@gmail.com</t>
  </si>
  <si>
    <t>user_2ltcJPSU4K5GQRCXN5teE33waFk</t>
  </si>
  <si>
    <t>kaposi.g@gmail.com</t>
  </si>
  <si>
    <t>user_2lqutMR60GZg5QKajIDcHeArkgf</t>
  </si>
  <si>
    <t>2facebence@gmail.com</t>
  </si>
  <si>
    <t>user_2pifG78VkJU628COUZH9jZ2Fyrp</t>
  </si>
  <si>
    <t>dobai.imu@gmail.com</t>
  </si>
  <si>
    <t>user_322amJfGlsogSD3PvODvlkAWfea</t>
  </si>
  <si>
    <t>kovig331227@gmail.com</t>
  </si>
  <si>
    <t>user_2nyWEDK0bUZPXp4ijosSnIxO4zB</t>
  </si>
  <si>
    <t>antalsebok@gmail.com</t>
  </si>
  <si>
    <t>user_2uin6HqjRqFGjcf9L46SyVbLoRO</t>
  </si>
  <si>
    <t>csoklaszl72@gmail.com</t>
  </si>
  <si>
    <t>user_2ktB6FueEAMkt2306DUBfDjCMQV</t>
  </si>
  <si>
    <t>buserzso1968@gmail.com</t>
  </si>
  <si>
    <t>user_2nEXFAvjMjNG5U13GotVfLtn5bM</t>
  </si>
  <si>
    <t>e.b.gigi@gmail.com</t>
  </si>
  <si>
    <t>user_2myQJOJM55PPRw3VFrhk7UJ6ZTq</t>
  </si>
  <si>
    <t>juhasz.p.eva@gmail.com</t>
  </si>
  <si>
    <t>user_2rzhoqFYb3tvI3uSanbLBtRJnno</t>
  </si>
  <si>
    <t>nagybaniarus@gmail.com</t>
  </si>
  <si>
    <t>user_2nKRR0G0F6nXwZIVQ1QwCiMurYv</t>
  </si>
  <si>
    <t>szekely.lacika@gmail.com</t>
  </si>
  <si>
    <t>user_2mLJXqcJiKSCwgeEY5Y7lbxeqxK</t>
  </si>
  <si>
    <t>lakoazbt70@gmail.com</t>
  </si>
  <si>
    <t>user_2lrxBfmvvjP6tAmslUYkLcxkzVB</t>
  </si>
  <si>
    <t>kemenycsilla@gmail.com</t>
  </si>
  <si>
    <t>user_2vGIRAp6tiLoSBqbSUQHxSXiJ1q</t>
  </si>
  <si>
    <t>amr.elkordi@gmail.com</t>
  </si>
  <si>
    <t>user_2y3T9jdkgfcjG0BMRn2kq3alDVH</t>
  </si>
  <si>
    <t>fodoreni.ef@gmail.com</t>
  </si>
  <si>
    <t>user_31mwkrgby7ffFmU4WYeYG28L2pS</t>
  </si>
  <si>
    <t>takacsjozsef007@gmail.com</t>
  </si>
  <si>
    <t>user_2lvt4m3famfgtQmcIkJ8mrQNp6q</t>
  </si>
  <si>
    <t>hunbade@gmail.com</t>
  </si>
  <si>
    <t>user_2r4hJPdohQeYhuPDpcvyiG5kbpk</t>
  </si>
  <si>
    <t>office@ilmartravel.ro</t>
  </si>
  <si>
    <t>user_2oALVi8B7MWyQmu3HpUIqoKewz6</t>
  </si>
  <si>
    <t>szilvalekvarka@gmail.com</t>
  </si>
  <si>
    <t>user_2ryzWOXnUNeNYEbguoG9Lwfv9n3</t>
  </si>
  <si>
    <t>asmir.kahric32@gmail.com</t>
  </si>
  <si>
    <t>user_2xfYB5QwgKq9RLpIPxxSnmQJkVw</t>
  </si>
  <si>
    <t>mirabellmirabell6@gmail.com</t>
  </si>
  <si>
    <t>61f2792c-59ef-4a4d-bf09-4a60f6ded222</t>
  </si>
  <si>
    <t>renata363jonas@gmail.com</t>
  </si>
  <si>
    <t>user_2yuKAiiGIXleVybq3PDFKTcUqYY</t>
  </si>
  <si>
    <t>kosztend@gmail.com</t>
  </si>
  <si>
    <t>user_2mbIuYMtutExgdkwyiCHCXeSHOU</t>
  </si>
  <si>
    <t>veronika.ladzonova@gmail.com</t>
  </si>
  <si>
    <t>user_2rPHzJsw4PWA0kiYwwqttFQG7Jg</t>
  </si>
  <si>
    <t>szpetra021@gmail.com</t>
  </si>
  <si>
    <t>user_2vSe4bOn6NKB2kp1FHiNqcgcL5S</t>
  </si>
  <si>
    <t>aradi.vilmos@gmail.com</t>
  </si>
  <si>
    <t>user_2m8iJbHUvTwp4PcmUChDrNDCj7C</t>
  </si>
  <si>
    <t>z.szakal21@gmail.com</t>
  </si>
  <si>
    <t>user_2nr4y95kxMT64aJRfUobAJ9DWwb</t>
  </si>
  <si>
    <t>martonsugar@gmail.com</t>
  </si>
  <si>
    <t>user_2oidGxGvUHAsGVCxD7d7Hu1MAA8</t>
  </si>
  <si>
    <t>ocskayzoli@gmail.com</t>
  </si>
  <si>
    <t>user_2xj5dS9Ox6o15CHiuKa1yBhjg2N</t>
  </si>
  <si>
    <t>kovacsrobert7@gmail.com</t>
  </si>
  <si>
    <t>user_2oExNOPkpwFqSjKvYN3eQTTWS3V</t>
  </si>
  <si>
    <t>medveczky.tunde@icloud.com</t>
  </si>
  <si>
    <t>user_2lVW7hYWUvcIB71hsit5a2IQMXE</t>
  </si>
  <si>
    <t>kovacsb64@gmail.com</t>
  </si>
  <si>
    <t>user_2mmfRywTGvyeQiZu5qxCizkuFrG</t>
  </si>
  <si>
    <t>csilluka09@gmail.com</t>
  </si>
  <si>
    <t>user_2lnFbh3MvawF7rNEkMLWtCKNtYL</t>
  </si>
  <si>
    <t>peeter014@gmail.com</t>
  </si>
  <si>
    <t>user_2lHC3UwjUmQT6ZI5G3NYRJc27p2</t>
  </si>
  <si>
    <t>relldominika@gmail.com</t>
  </si>
  <si>
    <t>user_2mQNLGVIr7btQUAlBiuxwhLioBr</t>
  </si>
  <si>
    <t>kelemenkrisztin60@gmail.com</t>
  </si>
  <si>
    <t>user_2wxn0oqdzpcMCbwW7mxGwHDo286</t>
  </si>
  <si>
    <t>richter.edit23@gmail.com</t>
  </si>
  <si>
    <t>user_2zV1FdjYEXAcX7ilUkhoV8k8S0l</t>
  </si>
  <si>
    <t>erzsebet.paskujmatyasne@galgepszer.hu</t>
  </si>
  <si>
    <t>1ce5403c-8b88-4b81-a5d3-c37ba9971920</t>
  </si>
  <si>
    <t>iroda@gorbepalko.hu</t>
  </si>
  <si>
    <t>user_2pdBHg1tVJf9yUvD8TYcwsn0YoX</t>
  </si>
  <si>
    <t>kovacs.krisztina.mpk@gmail.com</t>
  </si>
  <si>
    <t>user_2nEaTYLHpMsjm84kVxC5F6CTHkO</t>
  </si>
  <si>
    <t>elferi.send@indamail.hu</t>
  </si>
  <si>
    <t>user_2mI16Ac1N8gWoOUzv60nCCXspEI</t>
  </si>
  <si>
    <t>krajcserik@gmail.com</t>
  </si>
  <si>
    <t>user_2qbfQf5ke0AZd6JupCrnkRupCOJ</t>
  </si>
  <si>
    <t>kapus700507@gmail.com</t>
  </si>
  <si>
    <t>user_2oInujy4rv1j08Vb4IqLinUM67O</t>
  </si>
  <si>
    <t>tamas.kovecsi@gmail.com</t>
  </si>
  <si>
    <t>user_2pg1PpI8WWjuSYsSHvGU5j5LCvy</t>
  </si>
  <si>
    <t>anyafagyi101@gmail.com</t>
  </si>
  <si>
    <t>user_2qUhPvaAPRZYbTeHRH6xqa1srtl</t>
  </si>
  <si>
    <t>gurisattihajni@gmail.com</t>
  </si>
  <si>
    <t>user_2pQaE4afGHF9ykcu6nrPCPgyvOJ</t>
  </si>
  <si>
    <t>csizmazia.tihany@gmail.com</t>
  </si>
  <si>
    <t>user_34OJHOmXiRVsDooxABDUpHgBYHi</t>
  </si>
  <si>
    <t>kulifaitoma@gmail.com</t>
  </si>
  <si>
    <t>user_2oa7HlWIpdZceNcpr7kiA9fx51b</t>
  </si>
  <si>
    <t>eniszt@gmail.com</t>
  </si>
  <si>
    <t>user_2wUQdoS93xXiYknT8QUIW9WcKDD</t>
  </si>
  <si>
    <t>fs.sandor@gmail.com</t>
  </si>
  <si>
    <t>user_2uzqszifqMUvxuFo2qRI3COHGQl</t>
  </si>
  <si>
    <t>p.mate202@gmail.com</t>
  </si>
  <si>
    <t>user_2nG6Gadr8qT4PGjrAzyRsBeLYOF</t>
  </si>
  <si>
    <t>hegyi.roland73@gmail.com</t>
  </si>
  <si>
    <t>user_2rnHsH8rfcowPWN2abqWv4lW81d</t>
  </si>
  <si>
    <t>totokave69@gmail.com</t>
  </si>
  <si>
    <t>user_2rS28GgXYRzULMqv0FQAn3YBZ7J</t>
  </si>
  <si>
    <t>erika.hazine@gmail.com</t>
  </si>
  <si>
    <t>user_2x5foUrLXiDcAhgR44DWnxVhKJB</t>
  </si>
  <si>
    <t>foldesikriszta6@gmail.com</t>
  </si>
  <si>
    <t>user_2mnYCT5mvyTRyIWRFJdYH9UgcXy</t>
  </si>
  <si>
    <t>janurikz@gmail.com</t>
  </si>
  <si>
    <t>user_2o1Khoi7E9PZEK5yPwq0cv1ey7P</t>
  </si>
  <si>
    <t>dominik.taplerdegi@gmail.com</t>
  </si>
  <si>
    <t>user_2oh7ohWgyIlTWnHgL6x3zw5LXxJ</t>
  </si>
  <si>
    <t>alinadarevic@gmail.com</t>
  </si>
  <si>
    <t>user_2oLsAp4kRda4nFp3sS8DhC4WBJZ</t>
  </si>
  <si>
    <t>sajatkezuleg2000bt@gmail.com</t>
  </si>
  <si>
    <t>user_2pfBSXeOwWWBhVCJTQcbUFgeSYT</t>
  </si>
  <si>
    <t>fellerova.barbara@gmail.com</t>
  </si>
  <si>
    <t>user_2lT9mlpF9JYv4aSjIvr5YP31raf</t>
  </si>
  <si>
    <t>boroszso@freemail.hu</t>
  </si>
  <si>
    <t>user_2qFINHRO24BomIJZRlEBITVUP49</t>
  </si>
  <si>
    <t>gazsa.bianka@gmail.com</t>
  </si>
  <si>
    <t>user_2vOgpan4NAEdW0kTsprmHz4OoSe</t>
  </si>
  <si>
    <t>viktoria.zsigmond96@gmail.com</t>
  </si>
  <si>
    <t>user_2pF3Ftg1S0FvEPLkDn6gDMiU2ra</t>
  </si>
  <si>
    <t>eva.gyenne@freemail.hu</t>
  </si>
  <si>
    <t>user_2u4LlTSue23QD6Kl3LIWiV50CUQ</t>
  </si>
  <si>
    <t>veresmate0128@gmail.com</t>
  </si>
  <si>
    <t>user_2lKhAcgXPQc89Uxs8V6ZUOqTtt3</t>
  </si>
  <si>
    <t>kgytravel@gmail.com</t>
  </si>
  <si>
    <t>user_2mQVsU1cMhNzToOHPww56Ep8CFh</t>
  </si>
  <si>
    <t>szucs.gabor92@yahoo.co.uk</t>
  </si>
  <si>
    <t>user_2pIO8dyUzuYvy2ulxxeZD9i5gDI</t>
  </si>
  <si>
    <t>kisstundeklaudia13@gmail.com</t>
  </si>
  <si>
    <t>user_2wwPacAnxwsv9STMwZbQ4dR8vuG</t>
  </si>
  <si>
    <t>alexandratari90@gmail.com</t>
  </si>
  <si>
    <t>user_2mnzt5HizxI9nueCUU5KSEqG0n7</t>
  </si>
  <si>
    <t>tomasca77@gmail.com</t>
  </si>
  <si>
    <t>user_2lVrJwTUteG5zZ4SegHclWuy4xd</t>
  </si>
  <si>
    <t>surda19831114@gmail.com</t>
  </si>
  <si>
    <t>user_2oMAfVCUGjtoQr8P6htbXPWDGT4</t>
  </si>
  <si>
    <t>borbelyrenata@hotmail.com</t>
  </si>
  <si>
    <t>user_2lTyRShibG3zZbuqAJeZhYyou4D</t>
  </si>
  <si>
    <t>csajukerkft@gmail.com</t>
  </si>
  <si>
    <t>user_2uX76RQf5aLOEVXwKWwzvVa476z</t>
  </si>
  <si>
    <t>katalin.szittar@hu.eckerle-gruppe.com</t>
  </si>
  <si>
    <t>user_2lVA6zN7a7k6kY5ZLcYkCsERn0q</t>
  </si>
  <si>
    <t>anetty84@gmail.com</t>
  </si>
  <si>
    <t>user_2sgFBNdDd1eAFiVqTNz8XS3YIAw</t>
  </si>
  <si>
    <t>hopo821217@gmail.com</t>
  </si>
  <si>
    <t>user_2lVOBXQqwMpCuz0Hcm7JMnculNz</t>
  </si>
  <si>
    <t>tommi721@gmail.com</t>
  </si>
  <si>
    <t>user_2nbmOWL1ZV6kxNiP2vZFmhzQGS5</t>
  </si>
  <si>
    <t>zsolt.berta@profigepteher.hu</t>
  </si>
  <si>
    <t>user_2nLd4wb5hoAgTacIEYmHiTyy11D</t>
  </si>
  <si>
    <t>dobotipluszkft@gmail.com</t>
  </si>
  <si>
    <t>user_2r6qQnhssDg30NcmHFgDoljw3eF</t>
  </si>
  <si>
    <t>gyepesi.szandra@gmail.com</t>
  </si>
  <si>
    <t>user_2mEuywoY8MPzfks7f1yiLgWw3Jw</t>
  </si>
  <si>
    <t>nzsk0714@gmail.com</t>
  </si>
  <si>
    <t>user_2lEaxsiqaPzjOaFCfgKkyWOdvWy</t>
  </si>
  <si>
    <t>juliettabutorbolt@gmail.com</t>
  </si>
  <si>
    <t>user_2lEIMYOWljfSa5k7VFzu4Mx0ot3</t>
  </si>
  <si>
    <t>bocskeycsilla@gmail.com</t>
  </si>
  <si>
    <t>user_2vcvdHgjDRU1VuinLlUJhZW4ZQW</t>
  </si>
  <si>
    <t>route66klub@gmail.com</t>
  </si>
  <si>
    <t>user_2nzwi6ckFyzjhNkcwiUA4KJcIcw</t>
  </si>
  <si>
    <t>melinda248m@yahoo.co.uk</t>
  </si>
  <si>
    <t>user_2xJB6iPrwZfNkC4XvJ19hUiDoom</t>
  </si>
  <si>
    <t>gavallermon72@gmail.com</t>
  </si>
  <si>
    <t>user_2pAZlXI2SxjGkSv8UTvqurY9CkF</t>
  </si>
  <si>
    <t>garamiandras@mail.com</t>
  </si>
  <si>
    <t>user_31x3b93BFJ3fT9quAUaQae5DxI9</t>
  </si>
  <si>
    <t>miklospiros@gmail.com</t>
  </si>
  <si>
    <t>user_2nU2LpXGrvxhiDa7vJtkLFvRXIC</t>
  </si>
  <si>
    <t>molnar.dani1108@gmail.com</t>
  </si>
  <si>
    <t>user_2rBNEeswgXe3Ib2RgNaeE0ZQbj0</t>
  </si>
  <si>
    <t>szalmasy.beata@gmail.com</t>
  </si>
  <si>
    <t>user_2x5NmTO4TaIncFARSY1wCav4w6m</t>
  </si>
  <si>
    <t>sarasimon0302@icloud.com</t>
  </si>
  <si>
    <t>user_2o2A2zz9kg8n0UjCqX96yjsl009</t>
  </si>
  <si>
    <t>reni.szalai@gmail.com</t>
  </si>
  <si>
    <t>user_2qOsIHAM6H4VwL4ErsYnzDLzAHx</t>
  </si>
  <si>
    <t>csabaantek@gmail.com</t>
  </si>
  <si>
    <t>user_2lFoWzujnXAAGXeDkCD4KCc6TQz</t>
  </si>
  <si>
    <t>sandorvarfi@gmail.com</t>
  </si>
  <si>
    <t>user_2n7nVmZdJlHlGuUixF6mWDqNJXL</t>
  </si>
  <si>
    <t>vatuhani@gmail.com</t>
  </si>
  <si>
    <t>user_2oC6xzDNwC0EYvxW2HuFGE5dDdL</t>
  </si>
  <si>
    <t>magyari.eva16@gmail.com</t>
  </si>
  <si>
    <t>user_2wnj53ap3uVAFdtKu53jnOPPHTQ</t>
  </si>
  <si>
    <t>anettrouge05@gmail.com</t>
  </si>
  <si>
    <t>user_2oDqn3cRfOwLRMpmt1wASSDonY8</t>
  </si>
  <si>
    <t>lacus1@citromail.hu</t>
  </si>
  <si>
    <t>user_2mnHB8oEhrfQrGjRBs3qX9vATV2</t>
  </si>
  <si>
    <t>kosabela72@gmail.com</t>
  </si>
  <si>
    <t>user_2muszSNYKUQL70RoxPXgSdnK3Zy</t>
  </si>
  <si>
    <t>lovaszklaudia20@gmail.com</t>
  </si>
  <si>
    <t>user_2ysGtRhNmRuuzUWKVi2q1mstfMU</t>
  </si>
  <si>
    <t>dominik.toth00@gmail.com</t>
  </si>
  <si>
    <t>user_2lMtTHXywZKHJmrKJauNOawEf5o</t>
  </si>
  <si>
    <t>jlaura1@gmail.hu</t>
  </si>
  <si>
    <t>user_2yrDZHRZHmyRltD7cxeWGDRpcnO</t>
  </si>
  <si>
    <t>eva.szelesi1977@gmail.com</t>
  </si>
  <si>
    <t>user_2liAQ6UTwK7DkkJQe4TNrJcAduY</t>
  </si>
  <si>
    <t>vogyi73@gmail.com</t>
  </si>
  <si>
    <t>user_2xOJspt3VT1txLEpeMY7Z86Vt97</t>
  </si>
  <si>
    <t>halasz.gabor64@gmail.com</t>
  </si>
  <si>
    <t>user_2x53nJeLJQlhdBNJkBDtJjktDOu</t>
  </si>
  <si>
    <t>tothzol@gmail.com</t>
  </si>
  <si>
    <t>user_2na0OtIjgNoBwlo3fg8M0iziFkS</t>
  </si>
  <si>
    <t>n.i.zs6801@gmail.com</t>
  </si>
  <si>
    <t>user_2trbfXXwYoHj4TMgIIeMwz9PLAW</t>
  </si>
  <si>
    <t>vajdovich.peter@gmail.com</t>
  </si>
  <si>
    <t>user_2qtxPLeku2TcpPHL2YWFukIsh6l</t>
  </si>
  <si>
    <t>balintpapp01@gmail.com</t>
  </si>
  <si>
    <t>user_2riSgnygkdV4GIaRoryCPPO2O1N</t>
  </si>
  <si>
    <t>medikitglobal2010@gmail.com</t>
  </si>
  <si>
    <t>user_2wUdYalircy5NjT9ZcTRBslQhYS</t>
  </si>
  <si>
    <t>aronzstel@gmail.com</t>
  </si>
  <si>
    <t>user_2nlHN6AMsJESiOStgIz9IIPmtOQ</t>
  </si>
  <si>
    <t>bio.szilvapalinka@gmail.com</t>
  </si>
  <si>
    <t>user_2rLr3KU1fwNlaoA0b6U46VVcDdt</t>
  </si>
  <si>
    <t>imre.vicsapi@gmail.com</t>
  </si>
  <si>
    <t>user_2nbMRznw9iiHgJ2is3iDAB3EFrJ</t>
  </si>
  <si>
    <t>babuci1162@gmail.com</t>
  </si>
  <si>
    <t>user_2kBsDr92SJyNx6YhGk1heDTIDlX</t>
  </si>
  <si>
    <t>lobodazsolt@gmail.com</t>
  </si>
  <si>
    <t>user_2m791JzTAPTdxcSuS3wERmgoA7L</t>
  </si>
  <si>
    <t>molnar.ferenc5929@gmail.com</t>
  </si>
  <si>
    <t>user_2lQV96JOSvNZ36MTXtQHKWOYDPT</t>
  </si>
  <si>
    <t>heho73@gmail.com</t>
  </si>
  <si>
    <t>user_2o3RQt5GySTv8qHDOmbTdamdEXT</t>
  </si>
  <si>
    <t>ilonczai.krisztina@gmail.com</t>
  </si>
  <si>
    <t>user_2mpkKmvfeKyldMluzadwVKkmb9p</t>
  </si>
  <si>
    <t>bobe0416@freemail.hu</t>
  </si>
  <si>
    <t>user_2njosK9evXSn4xBRjACuifVowc6</t>
  </si>
  <si>
    <t>bodaieva@freemail.hu</t>
  </si>
  <si>
    <t>user_329UGkDUmrsKP2RTCyaVtlEmZyp</t>
  </si>
  <si>
    <t>kovacsattilla01@gmail.com</t>
  </si>
  <si>
    <t>user_2xS4frL0dbJrvfAI3LgWRfAeHxQ</t>
  </si>
  <si>
    <t>denesi.aniko@gmail.com</t>
  </si>
  <si>
    <t>user_2zbB3BFF5KI8KehC7oePi5i7B5a</t>
  </si>
  <si>
    <t>manuu.0303@icloud.com</t>
  </si>
  <si>
    <t>user_2o4SaXeIbo4ALl9m3JHyFLKfO2P</t>
  </si>
  <si>
    <t>viktoriaasboth11@gmail.com</t>
  </si>
  <si>
    <t>user_2uOPJkfVLgevSWj8uGNs82VXqrq</t>
  </si>
  <si>
    <t>p.laszlo2323@gmail.com</t>
  </si>
  <si>
    <t>user_2m42HHKr7UMbDi1zlaI5dN13LIR</t>
  </si>
  <si>
    <t>jablonkai.pantya.anita@gmail.com</t>
  </si>
  <si>
    <t>user_2pZHcrXXvikUCvdpjMcZX9EsLSU</t>
  </si>
  <si>
    <t>barbara.becsaj@gmail.com</t>
  </si>
  <si>
    <t>user_2lSE8bs9eYSvctinnvwOggx9AvW</t>
  </si>
  <si>
    <t>ekeildi68@gmail.com</t>
  </si>
  <si>
    <t>user_2nRCFJ92hQBywn40W1JLpSgiETH</t>
  </si>
  <si>
    <t>palagabi@gmail.com</t>
  </si>
  <si>
    <t>user_2wAcnzhbWgDPYl62ybJypSixYEo</t>
  </si>
  <si>
    <t>cegprofilom@gmail.com</t>
  </si>
  <si>
    <t>user_2msDzP9CjxtQxHLIpqYuhcu8Pvw</t>
  </si>
  <si>
    <t>szermatyas@gmail.com</t>
  </si>
  <si>
    <t>user_2pSmihFgt2LMqOUZVeI9xhAB1hj</t>
  </si>
  <si>
    <t>szoporiandi@gmail.com</t>
  </si>
  <si>
    <t>user_2nnBcyhfNQ0JLoVMDUyqCgoMpyc</t>
  </si>
  <si>
    <t>vidaantonia@freemail.hu</t>
  </si>
  <si>
    <t>user_2vrJigBz2miKM9FtFdZaGp9upWf</t>
  </si>
  <si>
    <t>tom.chwalisz@gmx.de</t>
  </si>
  <si>
    <t>user_2xxW4nMVqrdnkk70Mp222xjg101</t>
  </si>
  <si>
    <t>balazs.sitkei@gmail.com</t>
  </si>
  <si>
    <t>user_2ovyAGlajobUxrgWYJBFtCmLz4v</t>
  </si>
  <si>
    <t>istvanovedina@gmail.com</t>
  </si>
  <si>
    <t>user_2pFZqoewEMauGjeEeTYCa1T08dW</t>
  </si>
  <si>
    <t>piebalazs@gmail.com</t>
  </si>
  <si>
    <t>user_2oktz9SnIN8j380MAeU4OqvZg7X</t>
  </si>
  <si>
    <t>toth.ildiko.ila@gmail.com</t>
  </si>
  <si>
    <t>user_2mSy1GGxbWByaEiOXLdpiziVWsq</t>
  </si>
  <si>
    <t>morocz72@gmail.com</t>
  </si>
  <si>
    <t>user_2pZMXtTQFYH2alT98xE8ryqTgJF</t>
  </si>
  <si>
    <t>nemeth.ad92@gmail.com</t>
  </si>
  <si>
    <t>user_2lSesb7pJBaLWtyfcOMWIKwAMZU</t>
  </si>
  <si>
    <t>z.petrekanics@gmail.com</t>
  </si>
  <si>
    <t>user_2tlSs7joYrZkvAn9eUvxqMgtFDe</t>
  </si>
  <si>
    <t>vtihor@gmail.com</t>
  </si>
  <si>
    <t>user_2yBmdnnh0Z2VBJUwz0IHt6PJBV6</t>
  </si>
  <si>
    <t>rendeles@atma.hu</t>
  </si>
  <si>
    <t>user_2pd6bHI6yTYYIJiOkALEmJGQlVF</t>
  </si>
  <si>
    <t>otto.k11@gmail.com</t>
  </si>
  <si>
    <t>user_2mZo5DIiLDZIa1YSpKneGIQYT6Q</t>
  </si>
  <si>
    <t>fabian.balazs08@gmail.com</t>
  </si>
  <si>
    <t>user_2xrVz35pEIWsFbSLxcUKQi5ppV6</t>
  </si>
  <si>
    <t>szikora.maria@gmail.com</t>
  </si>
  <si>
    <t>user_2l4rVX4Q6ucYHrabiOhv0DnAAHZ</t>
  </si>
  <si>
    <t>berkesadam21@gmail.com</t>
  </si>
  <si>
    <t>user_2mXEtIUSWXHQF8uf4mVNV0FmJGx</t>
  </si>
  <si>
    <t>kata.bojcsev@gmail.com</t>
  </si>
  <si>
    <t>user_2nBrdjZgBJB3ZmVFqmE1LGDZwmR</t>
  </si>
  <si>
    <t>toreki.szabo.agnes@gmail.com</t>
  </si>
  <si>
    <t>user_2lN7cqqH6ySaATLjb14uSnFv2kZ</t>
  </si>
  <si>
    <t>mammamia@vipmail.hu</t>
  </si>
  <si>
    <t>user_2vRP0WyYzOTOcxGquhOlSGR5pzO</t>
  </si>
  <si>
    <t>barby932@gmail.com</t>
  </si>
  <si>
    <t>user_2lNMzUQuA9wITfEQxucuZVRRmcb</t>
  </si>
  <si>
    <t>anikoh2000@gmail.com</t>
  </si>
  <si>
    <t>user_2ntnVyyyjhx4ovetQvsXmKixcFF</t>
  </si>
  <si>
    <t>drveress@drveress.com</t>
  </si>
  <si>
    <t>user_2ow61fV2sGgtELppNRmPhPlg7z4</t>
  </si>
  <si>
    <t>info.martinakos@gmail.com</t>
  </si>
  <si>
    <t>user_2vMosUimNl78qLdegtQPD7Zyvb9</t>
  </si>
  <si>
    <t>gapick@gmail.com</t>
  </si>
  <si>
    <t>user_2lCrvQrj0mPWKWdPVyDslsfyQy7</t>
  </si>
  <si>
    <t>szokefarkas@gmail.com</t>
  </si>
  <si>
    <t>user_2pUUsAbmtFOpT1m6k1czzMwB9ET</t>
  </si>
  <si>
    <t>beneildiko1@gmail.com</t>
  </si>
  <si>
    <t>user_2rwmZ4Yjf9LUGCLAMUnF3ywpdDs</t>
  </si>
  <si>
    <t>regina.dr.toth@gmail.com</t>
  </si>
  <si>
    <t>user_2mpSSbAS8Dpdj1HRHM0sN7x5Iul</t>
  </si>
  <si>
    <t>hmargit66@gmail.com</t>
  </si>
  <si>
    <t>user_2wXAcVbU6BP4YDuCzJdPPjAjmH7</t>
  </si>
  <si>
    <t>zoltansellei@freemail.hu</t>
  </si>
  <si>
    <t>user_2lHxPdNxjEogrbIeusUDZfBQPGP</t>
  </si>
  <si>
    <t>j.hiredman@gmail.com</t>
  </si>
  <si>
    <t>user_2nZlTLRbUzGjzw4bzKH07ADevRp</t>
  </si>
  <si>
    <t>horvatha769@gmail.com</t>
  </si>
  <si>
    <t>user_2zyBUy0zZlBDralNwbZQ116vtHd</t>
  </si>
  <si>
    <t>edina.igazne@gmail.com</t>
  </si>
  <si>
    <t>user_2xmnggKKDOojB1VbM2aCHb1i7t1</t>
  </si>
  <si>
    <t>foxiheni@gmail.com</t>
  </si>
  <si>
    <t>user_2xJeNRCBhkslW7r7mIMWRogbAX2</t>
  </si>
  <si>
    <t>tamas.kliber@gmail.com</t>
  </si>
  <si>
    <t>user_2lv0zc0OzuRrYB1QJyeRMzMFv6h</t>
  </si>
  <si>
    <t>juditgresko1@gmail.com</t>
  </si>
  <si>
    <t>user_2wuAXRMmAmHTh2J7h8NbHHAGd5j</t>
  </si>
  <si>
    <t>knorbert070489@gmail.com</t>
  </si>
  <si>
    <t>user_2qvAL9I5OcCLy0q0jlOqvskbc5g</t>
  </si>
  <si>
    <t>hilfigers@gmail.com</t>
  </si>
  <si>
    <t>user_2mpqfXZKeCGMDBAkSF0ewve2fez</t>
  </si>
  <si>
    <t>benedekkiss0516@gmail.com</t>
  </si>
  <si>
    <t>user_2ltNF62i1LPhLQJfJm87cSYXOfv</t>
  </si>
  <si>
    <t>deakjocka@gmail.com</t>
  </si>
  <si>
    <t>user_2rzat7hQV7qhFIfvcZC53tjsD7i</t>
  </si>
  <si>
    <t>lakatosbaloghsandor@gmail.com</t>
  </si>
  <si>
    <t>user_2ksnrU7KzSJIKgU3WbBFwOXGHv5</t>
  </si>
  <si>
    <t>nemethsandor9292@gmail.com</t>
  </si>
  <si>
    <t>user_2wK7arNwjSDRF9dOwK12Z9pBa9H</t>
  </si>
  <si>
    <t>carmaster75@freemail.hu</t>
  </si>
  <si>
    <t>user_2rs6ROCcuwuq0BfvtxFrBuVJGJF</t>
  </si>
  <si>
    <t>dezso.meksz@gmail.com</t>
  </si>
  <si>
    <t>user_2m1qxMNl6lPmcq9JLQNX4bF5XRI</t>
  </si>
  <si>
    <t>timi6675@gmail.com</t>
  </si>
  <si>
    <t>user_2yiFnlV1TKwU5d5S1JmbkhBZf7N</t>
  </si>
  <si>
    <t>anett0086@gmail.com</t>
  </si>
  <si>
    <t>user_2mv5LzWjbW4bsf778Hv21IpkQlq</t>
  </si>
  <si>
    <t>mata.klaudia99@gmail.com</t>
  </si>
  <si>
    <t>user_2rnWCjMQRbSW2kwySHR32GbAgGU</t>
  </si>
  <si>
    <t>sallai.szandra97@gmail.com</t>
  </si>
  <si>
    <t>user_2nI7t8RZF6bm4FVS6KEv0pZfyI4</t>
  </si>
  <si>
    <t>kgeadma2@gmail.com</t>
  </si>
  <si>
    <t>user_2rkTgweqhzbFf7b4nV0V8Seb9d5</t>
  </si>
  <si>
    <t>speedfire001@hotmail.com</t>
  </si>
  <si>
    <t>user_2r4RFzwGITFl1mBWATBvuGbsEcc</t>
  </si>
  <si>
    <t>86.joy86@gmail.com</t>
  </si>
  <si>
    <t>user_2lZ248kaNtI52FX5eddI7QIrPHn</t>
  </si>
  <si>
    <t>windtzsuzsa@t-online.hu</t>
  </si>
  <si>
    <t>user_2lEkgTefTu37SSF6oZdJWluvWwL</t>
  </si>
  <si>
    <t>v.kata91@gmail.com</t>
  </si>
  <si>
    <t>user_2wgvX2iu4VCcRg6foIruFd3BDZN</t>
  </si>
  <si>
    <t>kati730416@gmail.com</t>
  </si>
  <si>
    <t>user_2m0XTLwRtFt4vBIh82hFUhgiaFo</t>
  </si>
  <si>
    <t>varga.szilvi80@icloud.com</t>
  </si>
  <si>
    <t>user_2lvAE3B8mpecK2WBLnxYWmbiKzq</t>
  </si>
  <si>
    <t>ernora@gmail.com</t>
  </si>
  <si>
    <t>user_2r5Ct2xVVdg1GLPPqIqQg4Fz4Bp</t>
  </si>
  <si>
    <t>kissanyi7@gmail.com</t>
  </si>
  <si>
    <t>user_2mfL9bcK1uKwwlLZyk7FHYOUUMa</t>
  </si>
  <si>
    <t>polgar.eva@gmail.com</t>
  </si>
  <si>
    <t>user_2rewgcjNdlQ8cKwYcs0qqXcCp7b</t>
  </si>
  <si>
    <t>info@visztpeter.me</t>
  </si>
  <si>
    <t>user_2rZcSQcQmeHKnB3epi0Ug87JQHn</t>
  </si>
  <si>
    <t>marmeti1981@gmail.com</t>
  </si>
  <si>
    <t>user_2kuVHsHhlowkjpDNYPHUdlUffNJ</t>
  </si>
  <si>
    <t>vorosneraczmarta@gmail.com</t>
  </si>
  <si>
    <t>user_2wOeoUd8uCTkB4rxj3pV5iJLKIs</t>
  </si>
  <si>
    <t>riptorws@gmail.com</t>
  </si>
  <si>
    <t>user_2nUEIzeufsRVbeQuQVE0OJmXpCF</t>
  </si>
  <si>
    <t>floracsaba@gmail.com</t>
  </si>
  <si>
    <t>user_2rDEIpp2tFTw3tCaBcyP9HJ6gQd</t>
  </si>
  <si>
    <t>barsonyattila.mail@gmail.com</t>
  </si>
  <si>
    <t>user_2rL1z5J3C3lviJw7fiN2cjDFuMd</t>
  </si>
  <si>
    <t>muharadamiskola@gmail.com</t>
  </si>
  <si>
    <t>user_2wS4v8sPLTHjEyxLPxZOcSIhroM</t>
  </si>
  <si>
    <t>boldizsarsziszi@gmail.com</t>
  </si>
  <si>
    <t>user_2wQJSI8mVX3qmusAFEtv8lKOU1F</t>
  </si>
  <si>
    <t>kerepesii.renata15@gmail.com</t>
  </si>
  <si>
    <t>user_346n6gw4SGRKBZPxgHImBNzU5TR</t>
  </si>
  <si>
    <t>monifeszt@gmail.com</t>
  </si>
  <si>
    <t>user_2lmS24G3Pm3zEIPFDR0YK2zEBtj</t>
  </si>
  <si>
    <t>mgabsimg@gmail.com</t>
  </si>
  <si>
    <t>user_2vX4ZJGh4wmN57zwpl0LWLhQdtq</t>
  </si>
  <si>
    <t>fodor0627@gmail.com</t>
  </si>
  <si>
    <t>user_2kskxuAPh2yxMBqgNvVQ3dMFRBh</t>
  </si>
  <si>
    <t>bodnaragnes6@gmail.com</t>
  </si>
  <si>
    <t>user_2mcS49mzMmuYOY3mo5SkYrcm59k</t>
  </si>
  <si>
    <t>balazs.hegedus73@gmail.com</t>
  </si>
  <si>
    <t>user_2kjG3PB1nkPn5ZfgJPhaSvA1bCl</t>
  </si>
  <si>
    <t>ktmoncsi1973@gmail.com</t>
  </si>
  <si>
    <t>user_2zXVsNTAdYpeXBser8ycGLjVGb3</t>
  </si>
  <si>
    <t>bakviki94@gmail.com</t>
  </si>
  <si>
    <t>user_2mc3VkVBIqPJLykTXNqSBn40rIX</t>
  </si>
  <si>
    <t>kolodzjgizella@gmail.com</t>
  </si>
  <si>
    <t>user_2my2JIlBgTHkyYgLu5w9MQCbsxp</t>
  </si>
  <si>
    <t>csendeseva7@gmail.com</t>
  </si>
  <si>
    <t>user_2myAZP7yzlOnDzwQ6M3d5XvtymK</t>
  </si>
  <si>
    <t>piszoltan@gmail.com</t>
  </si>
  <si>
    <t>user_2li9ji6M9ddoZBWrLAt8cGkKNPU</t>
  </si>
  <si>
    <t>saadam1298@gmail.com</t>
  </si>
  <si>
    <t>user_2mZwZ3a18nFapsoN1v5f0jgAb6U</t>
  </si>
  <si>
    <t>bencsik.andras@yahoo.com</t>
  </si>
  <si>
    <t>user_2kgsElsdrPwn5wlbSP1Y1MgTmgK</t>
  </si>
  <si>
    <t>sebibali37@gmail.com</t>
  </si>
  <si>
    <t>user_2poQr4PmF9enaYZscditiaQBneN</t>
  </si>
  <si>
    <t>mendialex0820@gmail.com</t>
  </si>
  <si>
    <t>user_2pXFMC2tJJeU18PfKDHV4YxH41v</t>
  </si>
  <si>
    <t>dorbat14@icloud.com</t>
  </si>
  <si>
    <t>user_2oZZQV1TQoOcC6kONKfEF9QFpXw</t>
  </si>
  <si>
    <t>sinkab@gmail.com</t>
  </si>
  <si>
    <t>user_2za9P8QljoVPYgebEPGHpo5w5fZ</t>
  </si>
  <si>
    <t>mailbox.csorbadaniel@gmail.com</t>
  </si>
  <si>
    <t>user_35HsGKV2j9M3CCn3BJJkK4lln1n</t>
  </si>
  <si>
    <t>juhasz.moncsi.a52017@gmail.com</t>
  </si>
  <si>
    <t>user_2mW7CpPbo7JKTpXopwkuHPzM0IJ</t>
  </si>
  <si>
    <t>kovacsattila.ugyved@gmail.com</t>
  </si>
  <si>
    <t>user_33BPwcMSpXJVsIRQkteoqy9jR5n</t>
  </si>
  <si>
    <t>meli.antal@gmail.com</t>
  </si>
  <si>
    <t>user_2pvrS9XA1op6WQ5AEN87QASVFaY</t>
  </si>
  <si>
    <t>csoma.zita@gmail.com</t>
  </si>
  <si>
    <t>user_2uGwnfAyCnnSxqQ2PIRsuXJaMl2</t>
  </si>
  <si>
    <t>tamasmeszaros1216@gmail.com</t>
  </si>
  <si>
    <t>user_2uG3TS2zEy4tIbHdVYLqrZtj1CA</t>
  </si>
  <si>
    <t>lahky.usmev@gmail.com</t>
  </si>
  <si>
    <t>user_2xuOqp3amLzrPHzzMoiMenZ0D5I</t>
  </si>
  <si>
    <t>tocsa976@gmail.com</t>
  </si>
  <si>
    <t>user_2lh7fehZ7vOJk4hlSflqJThNhi5</t>
  </si>
  <si>
    <t>rabadrian93@gmail.com</t>
  </si>
  <si>
    <t>user_2mR0wcsUueaAkD8g3CLyI1aq2qm</t>
  </si>
  <si>
    <t>agocs.jozsef1@gmail.com</t>
  </si>
  <si>
    <t>user_2oIoVkjQXg2uCtGHpwy4KuSZtC3</t>
  </si>
  <si>
    <t>szabotunde643@gmail.com</t>
  </si>
  <si>
    <t>user_2q8fDJbH3SlNa58mi8bn2PS1H23</t>
  </si>
  <si>
    <t>tamas.moricz@htsm.hu</t>
  </si>
  <si>
    <t>user_2pFgLV0HxcAKqhJPUN8WcWVKgNG</t>
  </si>
  <si>
    <t>pinczesbalazs1023@gmail.com</t>
  </si>
  <si>
    <t>user_2n6OUxZOshJs08zgkOUKpPkTKWy</t>
  </si>
  <si>
    <t>szombati.marta@gmail.com</t>
  </si>
  <si>
    <t>user_2oHge1vkfR7ZTXVmPP8qwH3ipxt</t>
  </si>
  <si>
    <t>balazs.lugosi@gmail.com</t>
  </si>
  <si>
    <t>user_2krydutqAexnZt7hsAHgUiWnuZa</t>
  </si>
  <si>
    <t>hoffmann.tibor6108@gmail.com</t>
  </si>
  <si>
    <t>user_2mQ4ThtzkLFrZ6qCUlkF0NUb1V8</t>
  </si>
  <si>
    <t>nikolits.ildiko@gmail.com</t>
  </si>
  <si>
    <t>user_2kN091H3MLZAnykHAHF58vYbeM3</t>
  </si>
  <si>
    <t>big.ferenc.tamas@gmail.com</t>
  </si>
  <si>
    <t>user_2kMUAs5JdBHmexszh0EKT6FUyQA</t>
  </si>
  <si>
    <t>vadvizievezos@gmail.com</t>
  </si>
  <si>
    <t>user_2kLRaDYU1q8TSbz0Y1mmlhYP1aJ</t>
  </si>
  <si>
    <t>csati1972@gmail.com</t>
  </si>
  <si>
    <t>user_2lT9inNcf6MR4AqsfpjGT9UEKmq</t>
  </si>
  <si>
    <t>berendi97@gmail.com</t>
  </si>
  <si>
    <t>user_2ttODhMZOhF1Ibr0vi0KDMTpi6v</t>
  </si>
  <si>
    <t>petri.nikolett@gmail.com</t>
  </si>
  <si>
    <t>user_2trdtz4Ic6q7GFUMYJJXPpKrbmN</t>
  </si>
  <si>
    <t>oliver.orosz@gmail.com</t>
  </si>
  <si>
    <t>user_2jpP5OzzoaG6TQX26lGP8DkWTFF</t>
  </si>
  <si>
    <t>benceloboda@gmail.com</t>
  </si>
  <si>
    <t>user_2qLLIGOC6kdHAVYoDunQ4tgbLra</t>
  </si>
  <si>
    <t>scrab8@gmail.com</t>
  </si>
  <si>
    <t>user_2tpwvrFDWYVpig2VeE413Iawtd5</t>
  </si>
  <si>
    <t>zsigmond.abel1@gmail.com</t>
  </si>
  <si>
    <t>user_2xfsiWIQy9OfTgfYlZG2WHd55UH</t>
  </si>
  <si>
    <t>fabianeditt@gmail.com</t>
  </si>
  <si>
    <t>user_2oAg5AlCB1p8XzwoX6Bo6pj4UwC</t>
  </si>
  <si>
    <t>gergelykerecsenyi@gmail.com</t>
  </si>
  <si>
    <t>user_2lpxTXmZW59WqhD1YhGHpUyVNLv</t>
  </si>
  <si>
    <t>onodi.tamas.gyorgy@gmail.com</t>
  </si>
  <si>
    <t>user_2oAEs5yRFrchegw9uZ204k8cdXa</t>
  </si>
  <si>
    <t>mikaczocs@gmail.com</t>
  </si>
  <si>
    <t>user_2tiutwywozsVUYBFbawEvz4S0st</t>
  </si>
  <si>
    <t>morvane.adel77@gmail.com</t>
  </si>
  <si>
    <t>user_2w27GmjYQ2kLhHFEEgcM2ChzyHs</t>
  </si>
  <si>
    <t>sajtosjozsef.fuvar@gmail.com</t>
  </si>
  <si>
    <t>user_2w2H9uQm4Lh6Lgxqz1P398H2xT0</t>
  </si>
  <si>
    <t>kelemengergo92@gmail.com</t>
  </si>
  <si>
    <t>user_2tdVpxk9yeNPx3s3nGrrDy7hkIu</t>
  </si>
  <si>
    <t>lukacs.peter13@gmail.com</t>
  </si>
  <si>
    <t>user_2l64w5I39U7m64ck9wdLYwigUXM</t>
  </si>
  <si>
    <t>santa.agnes.virag@gmail.com</t>
  </si>
  <si>
    <t>user_2w3CIBpvapfGaVi4h9JScS4eRs8</t>
  </si>
  <si>
    <t>regermartin@gmail.com</t>
  </si>
  <si>
    <t>user_2xXghglDeeGA9QLpVs9Ar453ZEc</t>
  </si>
  <si>
    <t>kotroczoszabolcs@gmail.com</t>
  </si>
  <si>
    <t>user_2qTGV3XA8IZ3qjc4Jn4L3uX98v6</t>
  </si>
  <si>
    <t>eszterkohn@gmail.com</t>
  </si>
  <si>
    <t>user_32BOov8a5KTNf8AEsnA6qSz0CWt</t>
  </si>
  <si>
    <t>anikokatona2000@gmail.com</t>
  </si>
  <si>
    <t>user_2xSDfho0U3jfYWJXYBvwd0S1p4L</t>
  </si>
  <si>
    <t>kircsy@gmail.com</t>
  </si>
  <si>
    <t>user_2lQfG9bv1LaIO80W3TkweZ1xaGw</t>
  </si>
  <si>
    <t>dudastimea1971@gmail.com</t>
  </si>
  <si>
    <t>user_2mHfzuW4SXSRpiAazv1SCp9QKVN</t>
  </si>
  <si>
    <t>evapiko1@gmail.com</t>
  </si>
  <si>
    <t>user_320wpLeZqvKGjLQzqXNQwzLzPy2</t>
  </si>
  <si>
    <t>krnl.klk@gmail.com</t>
  </si>
  <si>
    <t>user_2lO0a4ItksfLMPoACNrceIMaVYf</t>
  </si>
  <si>
    <t>beerherr@gmail.com</t>
  </si>
  <si>
    <t>user_2qZPQBl3tBmNN3zREJ0VDeXwbMP</t>
  </si>
  <si>
    <t>schregike@gmail.com</t>
  </si>
  <si>
    <t>user_2lO0BSiP9awxaq22zW1pGRqIkwg</t>
  </si>
  <si>
    <t>szazmankriszta@gmail.com</t>
  </si>
  <si>
    <t>user_2nALBmtm77TmDkREdxZQWNRmsLY</t>
  </si>
  <si>
    <t>hencz.gabika@gmail.com</t>
  </si>
  <si>
    <t>b1b48aa4-be40-4f16-b520-630623432394</t>
  </si>
  <si>
    <t>tekergo5@freemail.hu</t>
  </si>
  <si>
    <t>user_2mDKN7pRpuf2Sgasgg0jG0eL9hu</t>
  </si>
  <si>
    <t>anikonak79@gmail.com</t>
  </si>
  <si>
    <t>user_2ls0vUaVROtzx9J7hQCqHw0NMNV</t>
  </si>
  <si>
    <t>vargadora007@gmail.com</t>
  </si>
  <si>
    <t>user_2srgh2LikmbiplS511O5AFYsiBY</t>
  </si>
  <si>
    <t>kesz.horvath@gmail.com</t>
  </si>
  <si>
    <t>user_2p7Nk5XhncRBwXRarzeDKVGJ5p9</t>
  </si>
  <si>
    <t>dudvaa@gmail.com</t>
  </si>
  <si>
    <t>user_2soP686Juhimo8nUIiA9Ov2ohIa</t>
  </si>
  <si>
    <t>nemethnekocsisedina@gmail.com</t>
  </si>
  <si>
    <t>user_2snnsXOrqKt9PZaUDLUZMd3FBoQ</t>
  </si>
  <si>
    <t>kovacskaroly7011@gmail.com</t>
  </si>
  <si>
    <t>user_2ls7hyU0690zFS0rAiu9ivLs5Nu</t>
  </si>
  <si>
    <t>hidatcsinalok@gmail.com</t>
  </si>
  <si>
    <t>user_2nvecOnZZuuvIoQ0qKKtJIfAUjB</t>
  </si>
  <si>
    <t>bodatimi77@gmail.com</t>
  </si>
  <si>
    <t>user_2lK70INKBUDAXIt8Bt6JzFahFLf</t>
  </si>
  <si>
    <t>balazs.stelkovics@gmail.com</t>
  </si>
  <si>
    <t>user_305HXECbBHRnl1ZwoURJ4LUscrT</t>
  </si>
  <si>
    <t>martabeata65@gmail.com</t>
  </si>
  <si>
    <t>user_2s4oeUe6AmhcdStDDbKAnmIDdGi</t>
  </si>
  <si>
    <t>t.marghescu@cic-wildlife.org</t>
  </si>
  <si>
    <t>user_2obiPP5Kp6WmJOwF0a6StGPEPPD</t>
  </si>
  <si>
    <t>tarzsolt570@gmail.com</t>
  </si>
  <si>
    <t>user_2mQ8dmtvwNlp3vwxYxNb6QGXJ8b</t>
  </si>
  <si>
    <t>tamasbarta@gmail.com</t>
  </si>
  <si>
    <t>user_2wsJNi0NQxko3bA32HCgHf5o833</t>
  </si>
  <si>
    <t>gthury@gmail.com</t>
  </si>
  <si>
    <t>user_2woOWldj9obYJng3AuY6KKmXuKH</t>
  </si>
  <si>
    <t>ica.toth70@gmail.com</t>
  </si>
  <si>
    <t>user_2wBbEyI9YwwOqh4DYUSQWfHNN8t</t>
  </si>
  <si>
    <t>attilavajas2000@gmail.com</t>
  </si>
  <si>
    <t>user_2lFzjipeyGBCqZiAkKwybbYG6W3</t>
  </si>
  <si>
    <t>piti.melinda@gmail.com</t>
  </si>
  <si>
    <t>user_2mz13rHaJxfBakTG2pmi1h94iQu</t>
  </si>
  <si>
    <t>lmenyus67@gmail.com</t>
  </si>
  <si>
    <t>user_2lJqcm1UceBYkj0bYsEhtfxVyJC</t>
  </si>
  <si>
    <t>tothtomi0517@gmail.com</t>
  </si>
  <si>
    <t>user_2txCe79FZVOX9nyuAUXfjwtcc7p</t>
  </si>
  <si>
    <t>liptaijanos71@gmail.com</t>
  </si>
  <si>
    <t>user_2mOQJxwBxt9UT62TKGpwgqud0Sg</t>
  </si>
  <si>
    <t>szele.zoltan.hu@gmail.com</t>
  </si>
  <si>
    <t>user_2liGuyzEHxMrm2COkDIlfhsgngX</t>
  </si>
  <si>
    <t>rolandredecsi@gmail.com</t>
  </si>
  <si>
    <t>user_2l3gc7jNtJok47RHoGL1tyTd4Ew</t>
  </si>
  <si>
    <t>zsofia_szabadka@yahoo.com</t>
  </si>
  <si>
    <t>user_2ocUFjw9kbNgYGF4AlZsYhXa4zT</t>
  </si>
  <si>
    <t>fesus1111@gmail.com</t>
  </si>
  <si>
    <t>user_2tuVErFqThQ1D2Gg6wYcKVaGT4P</t>
  </si>
  <si>
    <t>th.edina1205@gmail.com</t>
  </si>
  <si>
    <t>user_34lAJpVzHdq6SEWSHc4r9DGRFNm</t>
  </si>
  <si>
    <t>naught-05drawn@icloud.com</t>
  </si>
  <si>
    <t>user_2pVco7tOZ7o5LqyAxSfmr9ENZ5q</t>
  </si>
  <si>
    <t>kocziannikolett@gmail.com</t>
  </si>
  <si>
    <t>user_2vwRjWBwxsHw9Mg7i0lJtgrHAIq</t>
  </si>
  <si>
    <t>botlikferenc@gmail.com</t>
  </si>
  <si>
    <t>user_350jeMyOGfUAlj41RaMx5XNf3na</t>
  </si>
  <si>
    <t>marsodiana35@gmail.com</t>
  </si>
  <si>
    <t>user_2mnJIdL6V5XMLR0Ri6zOOsGEs03</t>
  </si>
  <si>
    <t>viraghz@vipmail.hu</t>
  </si>
  <si>
    <t>user_2poBj6EN1lWVijwIKMURSehUBLY</t>
  </si>
  <si>
    <t>csabakocsomba@gmail.com</t>
  </si>
  <si>
    <t>user_2vRX0Lt5PnYqsC3gT6M0zaUVypY</t>
  </si>
  <si>
    <t>sakim@freemail.hu</t>
  </si>
  <si>
    <t>user_2lWXn5hOqU9sKJYlqx1cBEcOrnR</t>
  </si>
  <si>
    <t>angie7@freemail.hu</t>
  </si>
  <si>
    <t>user_2z5T0kYDcB6veMNrGeNsu9iyDa7</t>
  </si>
  <si>
    <t>ballok@novia.hu</t>
  </si>
  <si>
    <t>user_2nqjXclZ0I5jNkZEqOIuC2ddnGM</t>
  </si>
  <si>
    <t>kriszkustos@gmail.com</t>
  </si>
  <si>
    <t>user_2uqgv6hPdrJMgfPDbzsyMbVd2GS</t>
  </si>
  <si>
    <t>hollak0507@gmail.com</t>
  </si>
  <si>
    <t>user_2pnCCcOEmFTUiUos49LycnhBJgt</t>
  </si>
  <si>
    <t>nextcars.hu@gmail.com</t>
  </si>
  <si>
    <t>user_2ywvikJkjyvhjz8cnyoGhS5bSAY</t>
  </si>
  <si>
    <t>baanzsombor05@gmail.com</t>
  </si>
  <si>
    <t>user_2sRp5mW5CjBWHaQFIPJIdPkjyCX</t>
  </si>
  <si>
    <t>gowithnoakes1@gmail.com</t>
  </si>
  <si>
    <t>user_2p4NHoD9fU9GdF9GnBhYeTZkmRL</t>
  </si>
  <si>
    <t>woofer73@gmail.com</t>
  </si>
  <si>
    <t>user_2lY7AfAi9hmaPFG9nRC12a9CFKf</t>
  </si>
  <si>
    <t>kati821225@gmail.com</t>
  </si>
  <si>
    <t>user_2x0iIpiIb6OK5u4WObN16KcbDUS</t>
  </si>
  <si>
    <t>korpabrigi02@gmail.com</t>
  </si>
  <si>
    <t>user_2vzEcnFbM7Oepe1hSnarS6n22Fd</t>
  </si>
  <si>
    <t>i.turcsik@bisol.hu</t>
  </si>
  <si>
    <t>user_2yV9xaF9YVfxIcZU4UErmToahxz</t>
  </si>
  <si>
    <t>rippel.laszlo@gmail.com</t>
  </si>
  <si>
    <t>user_2zN0iusTzDbSRYM9aJ4oYU5ZUnU</t>
  </si>
  <si>
    <t>mariannaemmnyeste@gmail.com</t>
  </si>
  <si>
    <t>user_2sNoPFkBygFkZ2KF7Th3PaGOwuG</t>
  </si>
  <si>
    <t>lenartvera@gmail.com</t>
  </si>
  <si>
    <t>user_2vzHAGJHaXrTuZomlxURpAbNt7O</t>
  </si>
  <si>
    <t>molnarz87@gmail.com</t>
  </si>
  <si>
    <t>user_2pStJPoIpyEItJyT22St89bC3Aa</t>
  </si>
  <si>
    <t>derij5938@gmail.com</t>
  </si>
  <si>
    <t>user_2wCp6CxgbVNHo5eObGT5SbSCZfz</t>
  </si>
  <si>
    <t>tomimotors@yahoo.co.uk</t>
  </si>
  <si>
    <t>user_33xdQS09sRQUSMtdFunqk1xpSQK</t>
  </si>
  <si>
    <t>egyud.attila74@gmail.com</t>
  </si>
  <si>
    <t>user_2nq1pvJRquhgtbSrH0mbuDwVb18</t>
  </si>
  <si>
    <t>bejtesdenisz@gmail.com</t>
  </si>
  <si>
    <t>user_2xeJdtdFBSBGgxSxxE2BSN8BgZo</t>
  </si>
  <si>
    <t>prosszeranita@freemail.hu</t>
  </si>
  <si>
    <t>user_359EElEOGmxBjXiJpJpspV6U6H1</t>
  </si>
  <si>
    <t>roliteamkft@gmail.com</t>
  </si>
  <si>
    <t>user_2usiGan7QTKcUepighjzWrzPlDm</t>
  </si>
  <si>
    <t>shemirani1@gmail.com</t>
  </si>
  <si>
    <t>user_2npZSBF2qDlsNS8Go5zpD09ZIjK</t>
  </si>
  <si>
    <t>fazitomi2015@gmail.com</t>
  </si>
  <si>
    <t>user_340GzJsoN90UsQ9iLG1dUyJgMAk</t>
  </si>
  <si>
    <t>gaborn070@gmail.com</t>
  </si>
  <si>
    <t>user_2oA18heDinC7jz4O5qnnnkz1azo</t>
  </si>
  <si>
    <t>davidrobert1979@gmail.com</t>
  </si>
  <si>
    <t>user_2vkzBAUbZnfyKCYdFPSmd2AExKp</t>
  </si>
  <si>
    <t>szittarkata@gmail.com</t>
  </si>
  <si>
    <t>user_2mwLSQoqsFNPQMoQHKv3H4DNvpg</t>
  </si>
  <si>
    <t>toth.ibolya0317@gmail.com</t>
  </si>
  <si>
    <t>user_2okR5E8fep0bResTzink8N567u1</t>
  </si>
  <si>
    <t>pestikinga@gmail.com</t>
  </si>
  <si>
    <t>user_2mKnlQ9yAzOAFVbvDdHuwGm5qzO</t>
  </si>
  <si>
    <t>edina970@gmail.com</t>
  </si>
  <si>
    <t>user_2lavLjBTmyk5ITgJ9yHl26yNQft</t>
  </si>
  <si>
    <t>tattila8@gmail.com</t>
  </si>
  <si>
    <t>user_2vkuxGdZZTDQ3uw1klrxWPjq8rn</t>
  </si>
  <si>
    <t>gabor.gg@gmail.com</t>
  </si>
  <si>
    <t>user_2ticAY5Q4JAsS1tzHp85TlcOOQ6</t>
  </si>
  <si>
    <t>imrelantos11@gmail.com</t>
  </si>
  <si>
    <t>user_2wpPxtzXkcldGZeR7nDGEtoFmUp</t>
  </si>
  <si>
    <t>szabolcspersik@gmail.com</t>
  </si>
  <si>
    <t>user_2kjTNCUjfksStj1ZeFrit9kB8M1</t>
  </si>
  <si>
    <t>katalin.sv82@gmail.com</t>
  </si>
  <si>
    <t>user_2nklbZCzPSq5MLWMnWeiLEXAjzT</t>
  </si>
  <si>
    <t>berta.joci2@gmail.com</t>
  </si>
  <si>
    <t>user_2o9ShTImrJxMc36WLiGe6D5VBZ3</t>
  </si>
  <si>
    <t>svedholapat2013@gmail.com</t>
  </si>
  <si>
    <t>user_2omwPMxrqsj8togp80PNU77utRU</t>
  </si>
  <si>
    <t>ancilac@gmail.com</t>
  </si>
  <si>
    <t>user_2w2SA5ReEcN5qyGtIbUxOZWqjJv</t>
  </si>
  <si>
    <t>mexim.budapest@gmail.com</t>
  </si>
  <si>
    <t>user_2rFRUAfv4imCKafSn8WtHO03FHC</t>
  </si>
  <si>
    <t>selseim85@gmail.com</t>
  </si>
  <si>
    <t>user_2tdorA1JTFWFyUqDn0suv1ktxUW</t>
  </si>
  <si>
    <t>miklos.teszary@yahoo.co.uk</t>
  </si>
  <si>
    <t>user_2ywhgMFNbOeS9ypQ5T1QSgNYN1K</t>
  </si>
  <si>
    <t>tomkelemen77@gmail.com</t>
  </si>
  <si>
    <t>user_2o7wpTaJ9UO7EOFdsveCYuWbyDN</t>
  </si>
  <si>
    <t>kitu050@gmail.com</t>
  </si>
  <si>
    <t>user_2vcdIqqtNaQ4zIpP95L7vFB4ZH3</t>
  </si>
  <si>
    <t>csucs.tibor.85@gmail.com</t>
  </si>
  <si>
    <t>user_2wpg00yvGgZYtRPnQ0uNFxUQUTS</t>
  </si>
  <si>
    <t>fandras90@gmail.com</t>
  </si>
  <si>
    <t>user_32HilqXkfhu0fWZgcxPzl66Jdmt</t>
  </si>
  <si>
    <t>ivica001@freemail.hu</t>
  </si>
  <si>
    <t>user_2lvg0w6264Dy5Jq1vEoiJN59p7t</t>
  </si>
  <si>
    <t>nkdy0218@naver.com</t>
  </si>
  <si>
    <t>user_2o7d7zxeomCjfPFJIl5TfW2IcoJ</t>
  </si>
  <si>
    <t>alexandra.csosz@gmail.com</t>
  </si>
  <si>
    <t>user_2mKFD8WY1OO9IFkcAmTkTduaQq0</t>
  </si>
  <si>
    <t>meszisanyi1@gmail.com</t>
  </si>
  <si>
    <t>user_2mJ63pPpNGDCMA8I1GuAOQN8KyT</t>
  </si>
  <si>
    <t>kalman.t2000@gmail.com</t>
  </si>
  <si>
    <t>user_2rGMYKQ9R3qvTZQaIxDQe84JZR9</t>
  </si>
  <si>
    <t>lakatosdavid103@gmail.com</t>
  </si>
  <si>
    <t>user_2lqObCgbfp2dFEBr5Ha7G9Uh90V</t>
  </si>
  <si>
    <t>szemigi@freemail.hu</t>
  </si>
  <si>
    <t>user_2lHtnzsGQJ7i5lXm3TpUBX2rT75</t>
  </si>
  <si>
    <t>roliroli2007@gmail.com</t>
  </si>
  <si>
    <t>user_2vD2YJeQVhYP7SQtqvD0AJQhUnG</t>
  </si>
  <si>
    <t>bekes76peter@gmail.com</t>
  </si>
  <si>
    <t>user_2lqYi8qEtDecPeC274qGDNIghiC</t>
  </si>
  <si>
    <t>davidvinkovich@gmail.com</t>
  </si>
  <si>
    <t>user_31QoNEiFrfgSPRaVWhzvSpA0wcO</t>
  </si>
  <si>
    <t>vitanyijozsi@gmail.com</t>
  </si>
  <si>
    <t>user_2mIoYKcSlxJwD8blWGNrN2eLhnq</t>
  </si>
  <si>
    <t>matyas.kecze@gmail.com</t>
  </si>
  <si>
    <t>user_2noDjZADlJZMuvUInktC1nH9JSX</t>
  </si>
  <si>
    <t>gaal.chris84@gmail.com</t>
  </si>
  <si>
    <t>user_2xVWkvRenGNoMFkTU74Cr7Sil2K</t>
  </si>
  <si>
    <t>tomikovacs9.5@gmail.com</t>
  </si>
  <si>
    <t>user_2peQP5Abk1DReZZk0Jgouw11P95</t>
  </si>
  <si>
    <t>attila.dudas02@gmail.com</t>
  </si>
  <si>
    <t>user_2wzHsdAkjz22mDdkqM1My4yxWhy</t>
  </si>
  <si>
    <t>dobosi.pal@gmail.com</t>
  </si>
  <si>
    <t>user_30XR37J8DkezD5JYbd5MXlmc3VI</t>
  </si>
  <si>
    <t>laszlo.nemeth66@gmail.com</t>
  </si>
  <si>
    <t>59bb33a0-48ae-4e97-99e8-af19b7fb6bce</t>
  </si>
  <si>
    <t>reka.szalai@ymail.com</t>
  </si>
  <si>
    <t>user_2rJZWK13ONJmdjQFB9IznfDLtUr</t>
  </si>
  <si>
    <t>patrik.reisch@gmail.com</t>
  </si>
  <si>
    <t>user_2m7ZwOhQa6aT1Cj2rCeFOXfdiFV</t>
  </si>
  <si>
    <t>office@sail-ing.hu</t>
  </si>
  <si>
    <t>user_2lCYdujCa2jwcZNgyyxZ7OdACmE</t>
  </si>
  <si>
    <t>torok.dinus@gmail.com</t>
  </si>
  <si>
    <t>user_2w4a0euQHhE3DAob5Eebr7Rji3m</t>
  </si>
  <si>
    <t>agriapet@gmail.com</t>
  </si>
  <si>
    <t>user_2yaGToCBvGGIRBxc3mHihAsgfDa</t>
  </si>
  <si>
    <t>alfagyuri@freemail.hu</t>
  </si>
  <si>
    <t>user_2zGqlJAlhF6Zk3knvLyyjAKX6jd</t>
  </si>
  <si>
    <t>voros.solar@gmail.com</t>
  </si>
  <si>
    <t>user_2m7ZV26hh2RkjaJ0E6N5gvqAkhO</t>
  </si>
  <si>
    <t>olaszrichard@gmail.com</t>
  </si>
  <si>
    <t>user_2wUBQkC8y9ePPAtMPKuZsAw4MPl</t>
  </si>
  <si>
    <t>zsolax96@gmail.com</t>
  </si>
  <si>
    <t>user_2o3ub3ZAwoTseZeaKO3yOU4DQj8</t>
  </si>
  <si>
    <t>szabpetyka@gmail.com</t>
  </si>
  <si>
    <t>user_2m7Wy1FptZkWGfmTi7oyTL0CWpq</t>
  </si>
  <si>
    <t>tsillamolnar@gmail.com</t>
  </si>
  <si>
    <t>user_2nTkkaRLV0refkjEkAfEoDb6TJ6</t>
  </si>
  <si>
    <t>hajosposta@gmail.com</t>
  </si>
  <si>
    <t>user_2l6U8eXzfm7pQGzghKthNRWxByU</t>
  </si>
  <si>
    <t>mvitya78@gmail.com</t>
  </si>
  <si>
    <t>user_2qWLDo39lOcqNUdcQn3LKP9wJLK</t>
  </si>
  <si>
    <t>berkestamas@hotmail.com</t>
  </si>
  <si>
    <t>user_2wPukTIWMQaQNUl08atftqmKOLt</t>
  </si>
  <si>
    <t>pepitacarpit@gmail.com</t>
  </si>
  <si>
    <t>user_2nOyB5NOpNmzVKtlTiiXgGs8cdy</t>
  </si>
  <si>
    <t>kingafornyos@gmail.com</t>
  </si>
  <si>
    <t>user_2vIhGcTsYOSQI6kr2MDEoX8Gr9D</t>
  </si>
  <si>
    <t>gramantik.p@gmail.com</t>
  </si>
  <si>
    <t>user_2rMuinEOrPIrr6KOGMjSw40y0RF</t>
  </si>
  <si>
    <t>m.norbee2000@gmail.com</t>
  </si>
  <si>
    <t>user_2o1pyTtNMtEwDWrqu1sprI7WEpc</t>
  </si>
  <si>
    <t>75attila.nagy@gmail.com</t>
  </si>
  <si>
    <t>user_2wV2bqMywkrYGW8JUMZGbhw9LgU</t>
  </si>
  <si>
    <t>kleinhappel.adrienn@gmail.com</t>
  </si>
  <si>
    <t>user_2v06sRWLVK39rSfsx8x9R7Sw7Cy</t>
  </si>
  <si>
    <t>benitheone01@gmail.com</t>
  </si>
  <si>
    <t>user_2wPFQs8AMoI38TtQNnuvzSRPpqp</t>
  </si>
  <si>
    <t>fazekas1968@gmail.com</t>
  </si>
  <si>
    <t>user_2vcmnpEE6Nn8HwtCFdoyut0UUui</t>
  </si>
  <si>
    <t>naraynagy@gmail.com</t>
  </si>
  <si>
    <t>user_2nnhTSxWcakrJEf7GIA5WahZ9KI</t>
  </si>
  <si>
    <t>tamasgabor2000@gmail.com</t>
  </si>
  <si>
    <t>user_2tBBSpe5khNTlOxu4frZZ91cnzF</t>
  </si>
  <si>
    <t>tibor@zsorda.hu</t>
  </si>
  <si>
    <t>user_2lkG8n2dgXLCvMYOg5eBTHuJpiH</t>
  </si>
  <si>
    <t>pajor95@gmail.com</t>
  </si>
  <si>
    <t>user_2qZORkT4yDQ0FKy6rRF7uAGeuRY</t>
  </si>
  <si>
    <t>martin.hervai23@gmail.com</t>
  </si>
  <si>
    <t>user_2wP1pG57posfoKAKZSYDCJ5QWr1</t>
  </si>
  <si>
    <t>csuja.zoltan98@gmail.com</t>
  </si>
  <si>
    <t>user_2rz0EamIt1zBNuD46MhfaDA66aB</t>
  </si>
  <si>
    <t>gaspar6008@gmail.com</t>
  </si>
  <si>
    <t>user_2wVjGDyUKhZwTMrEFwn8BjCV2Q4</t>
  </si>
  <si>
    <t>klaca68@yahoo.com</t>
  </si>
  <si>
    <t>user_2km8OKjqiw99k1L5oiGeL7cHLaQ</t>
  </si>
  <si>
    <t>igabee64@gmail.com</t>
  </si>
  <si>
    <t>user_2lrsXUCNxMiQw5Yuv0EXzw9Apzp</t>
  </si>
  <si>
    <t>janos.zsiday@gmail.com</t>
  </si>
  <si>
    <t>user_2w6IHlORLb9WSwhfsJRRdn9dV8Y</t>
  </si>
  <si>
    <t>gaborcsapko@gmail.com</t>
  </si>
  <si>
    <t>user_2lBg9WzvnvEMkFTLauQiz2rQgMX</t>
  </si>
  <si>
    <t>huliganchris@gmail.com</t>
  </si>
  <si>
    <t>user_2yo7imGzCDP5fbgk0c4BEnt82at</t>
  </si>
  <si>
    <t>andrasene@gmail.com</t>
  </si>
  <si>
    <t>user_2t2DOJ0O56WYoFoYEoAqJrx8jny</t>
  </si>
  <si>
    <t>krisztian.konya1980@gmail.com</t>
  </si>
  <si>
    <t>user_348cNrcWZjstYCxNcuJpbaVuiXZ</t>
  </si>
  <si>
    <t>vumar@freemail.hu</t>
  </si>
  <si>
    <t>user_2ooNckdb7is7HB3U8k5wVCnKh6n</t>
  </si>
  <si>
    <t>peter.gyugyi@gmail.com</t>
  </si>
  <si>
    <t>user_30h1LaQcT5vqD0pz2RnEVUjKKST</t>
  </si>
  <si>
    <t>kindergaby10@gmail.com</t>
  </si>
  <si>
    <t>user_2z8vZQWZ1DFAXtbRAwb2iNjs9KO</t>
  </si>
  <si>
    <t>biharikrisztina.krisztina@gmail.com</t>
  </si>
  <si>
    <t>user_34WOe7qaf5VrfCcLMbw9nTMhHr1</t>
  </si>
  <si>
    <t>peterbalogh94@gmail.com</t>
  </si>
  <si>
    <t>user_2r8MgfkO7oCWnOzvZe1qDNT31Ki</t>
  </si>
  <si>
    <t>gabeliangela.geli@gmail.com</t>
  </si>
  <si>
    <t>user_2l9tZY0D8kV2OCbOimdzEcIOe9j</t>
  </si>
  <si>
    <t>zoltansohajda@hotmail.com</t>
  </si>
  <si>
    <t>user_2szeAvjrQtNVvIgfOhVGMgfi6by</t>
  </si>
  <si>
    <t>mrgymayer@gmail.com</t>
  </si>
  <si>
    <t>user_2vH1FVbx9AY5XASiCzY4xIUxTEw</t>
  </si>
  <si>
    <t>v.viola1127@gmail.com</t>
  </si>
  <si>
    <t>user_2waBr7jhDG0MvkbxQgbkBERKNtH</t>
  </si>
  <si>
    <t>lambert.andrea81@gmail.com</t>
  </si>
  <si>
    <t>user_2sz10c4GKfKvV5QVkuI9RkHNmom</t>
  </si>
  <si>
    <t>bludibmw750@gmail.com</t>
  </si>
  <si>
    <t>user_2rXPVU7qrYwgfMyoYP4d6pTb4hG</t>
  </si>
  <si>
    <t>mihajlolaszlo@gmail.com</t>
  </si>
  <si>
    <t>user_2w7rlk75o7KudFgTCIisD8yEAfJ</t>
  </si>
  <si>
    <t>charles60@freemail.hu</t>
  </si>
  <si>
    <t>user_31sC1fY8yDqU6u68mVlcDh4Nzaw</t>
  </si>
  <si>
    <t>szlabejbela@gmail.com</t>
  </si>
  <si>
    <t>user_2rXfralkGAvD0IrE053Q4HjGt14</t>
  </si>
  <si>
    <t>tothne.szkati@gmail.com</t>
  </si>
  <si>
    <t>user_2rXjCdfYgPl1Esce6kimmQu1RO0</t>
  </si>
  <si>
    <t>mt.erika95@gmail.com</t>
  </si>
  <si>
    <t>user_30oGCVvJQsN9TYSEcZ36IbsTpKH</t>
  </si>
  <si>
    <t>aldottjudit70@gmail.com</t>
  </si>
  <si>
    <t>user_2qbyNqNcQGbGsN7DGVK3gINweal</t>
  </si>
  <si>
    <t>vikorandrea@gmail.com</t>
  </si>
  <si>
    <t>user_2wfMtZSGIRQz2TDv1J0MeI70EHG</t>
  </si>
  <si>
    <t>beataszamosi@hotmail.com</t>
  </si>
  <si>
    <t>user_2rcMYjPLjBO1WJoIQ0ZOCGf83Mr</t>
  </si>
  <si>
    <t>vidapeter216@gmail.com</t>
  </si>
  <si>
    <t>user_2wfdDcu21glb5BsTucSSydON7BF</t>
  </si>
  <si>
    <t>hinglzsolt@freemail.hu</t>
  </si>
  <si>
    <t>user_2p7sJTEyX77jx3Lw8BFP7ccTPRq</t>
  </si>
  <si>
    <t>adammangled@gmail.com</t>
  </si>
  <si>
    <t>user_2sw2N9t7VfpsDMW4MVwgu4VW4WN</t>
  </si>
  <si>
    <t>simontimi21@gmail.com</t>
  </si>
  <si>
    <t>user_2m0MIImaQSdcGddc7AGDEvXjyPa</t>
  </si>
  <si>
    <t>knemesm@gmail.com</t>
  </si>
  <si>
    <t>user_2lrwREDKnvkW66YK4Ku9rUYFAXB</t>
  </si>
  <si>
    <t>horgosnora@gmail.com</t>
  </si>
  <si>
    <t>user_2ooV0Wv06dtYZT6J8sYCdqoB1Zt</t>
  </si>
  <si>
    <t>viktoriakolics@gmail.com</t>
  </si>
  <si>
    <t>user_2mDKjElxG3z0pLE8V9HD9GlJbfQ</t>
  </si>
  <si>
    <t>czipazoltan70@gmail.com</t>
  </si>
  <si>
    <t>user_2w8gRXfQD1xNTwNsZYlvoHGlxgV</t>
  </si>
  <si>
    <t>ottipfc@freemail.hu</t>
  </si>
  <si>
    <t>user_2s8bhW62lcL2BQn2yJpyyxVwftp</t>
  </si>
  <si>
    <t>gursel.dursun1@gmail.com</t>
  </si>
  <si>
    <t>user_2qhUpfKVixMqPQ4XDKrrBzHarVm</t>
  </si>
  <si>
    <t>makknikoletta46@gmail.com</t>
  </si>
  <si>
    <t>user_35IJOBgiM3mu9oupkAWwLaxIoDw</t>
  </si>
  <si>
    <t>lehota.zsuzsanna@uni-mate.hu</t>
  </si>
  <si>
    <t>user_2wgMYtGMF7FG3tdXGQwld6epXnF</t>
  </si>
  <si>
    <t>pakaygyula22@gmail.com</t>
  </si>
  <si>
    <t>user_2p1hf3lCBYqb2MnzrBqRJCxiqLU</t>
  </si>
  <si>
    <t>adrienn.busai@gmail.com</t>
  </si>
  <si>
    <t>user_2vRKffHIvnb5KLP572BUlVkVEC9</t>
  </si>
  <si>
    <t>hbeninho@gmail.com</t>
  </si>
  <si>
    <t>user_2lMuATafi7iDQKnqgy3NeGQ8cBF</t>
  </si>
  <si>
    <t>petolaszlone@t-online.hu</t>
  </si>
  <si>
    <t>user_2qj0GQdJAL9cmDyDrrx6XThJcXj</t>
  </si>
  <si>
    <t>mark.takacs0510@gmail.com</t>
  </si>
  <si>
    <t>user_30uVU4BUJSxSSCGdidyN3vakEZC</t>
  </si>
  <si>
    <t>haragos.csaba@gmail.com</t>
  </si>
  <si>
    <t>user_2rg611cG5rdrIwuF33Z6ToANukp</t>
  </si>
  <si>
    <t>kiss.gabordk@gmail.com</t>
  </si>
  <si>
    <t>user_2r6qy6O5ExRnc8T2o3xxAs1BSxn</t>
  </si>
  <si>
    <t>deakdani2013@gmail.com</t>
  </si>
  <si>
    <t>user_2vgRO8FPegrDIzjB6IDzslMOnQF</t>
  </si>
  <si>
    <t>grobandi@yahoo.com</t>
  </si>
  <si>
    <t>user_2qkgDiBSWRzqF1VB66k6lfr5noZ</t>
  </si>
  <si>
    <t>peterberenyi@msn.com</t>
  </si>
  <si>
    <t>user_2nwljofg5xaXzXBfQzAIvkwKpKC</t>
  </si>
  <si>
    <t>szantoferenc8@gmail.com</t>
  </si>
  <si>
    <t>user_2nwg4AzybwO80SUy8hoP9Mu7vAt</t>
  </si>
  <si>
    <t>t4r.szilvike@gmail.com</t>
  </si>
  <si>
    <t>user_2wrLvxE8BnKWQZtk0lUmAt0te2q</t>
  </si>
  <si>
    <t>b.bernath.aniko@gmail.com</t>
  </si>
  <si>
    <t>user_2xDzy4JhHxIY6iqYlHVKzHDrsNE</t>
  </si>
  <si>
    <t>boszke56@gmail.com</t>
  </si>
  <si>
    <t>user_2lbbhes6NT6k9BaYoObxRjCe2Hz</t>
  </si>
  <si>
    <t>ujvarizoli@gmail.com</t>
  </si>
  <si>
    <t>user_2nM2siQcbKpdQvTbFXVP4LhHfLC</t>
  </si>
  <si>
    <t>mocsaryr@gmail.com</t>
  </si>
  <si>
    <t>user_2oqqg3WqbfIS56E3C2MvByPcGo3</t>
  </si>
  <si>
    <t>mokkas@vipmail.hu</t>
  </si>
  <si>
    <t>user_2wgScYUUwq8n7b6OqWDBGPXzji9</t>
  </si>
  <si>
    <t>bnorahanna@gmail.com</t>
  </si>
  <si>
    <t>user_2nwBtb4sz59HQirW0zUivwEJO0r</t>
  </si>
  <si>
    <t>vaczim@gmail.com</t>
  </si>
  <si>
    <t>user_2rzonDIfiDagVwrDc9F2gYZGIM5</t>
  </si>
  <si>
    <t>tako.monika@gmail.com</t>
  </si>
  <si>
    <t>user_2lHFu5zDQ3L48kAAiG5BobXIRo4</t>
  </si>
  <si>
    <t>andinovak0612@gmail.com</t>
  </si>
  <si>
    <t>user_2smITaFiaOGszMZcv622CFCv7sp</t>
  </si>
  <si>
    <t>horvathevelin0610@gmail.com</t>
  </si>
  <si>
    <t>user_2mCaJJgcKy2wlITD1HWt1RaQ4zq</t>
  </si>
  <si>
    <t>kabdebo@gmail.com</t>
  </si>
  <si>
    <t>user_2wGEFQy7P2hL8IRMhr3iSqXIsH8</t>
  </si>
  <si>
    <t>sarosdyzsuzsanna@gmail.com</t>
  </si>
  <si>
    <t>user_2nlGOvAZbWsdMfAlia4oeb6Mesn</t>
  </si>
  <si>
    <t>petrusferenc@gmail.com</t>
  </si>
  <si>
    <t>user_2shr31KIpoESwkJg7CZo8dK2qUY</t>
  </si>
  <si>
    <t>sumiviki77@gmail.com</t>
  </si>
  <si>
    <t>1b8ead65-b0c0-449d-9297-73dbfc4816c0</t>
  </si>
  <si>
    <t>botarzsuzsa35@gmail.com</t>
  </si>
  <si>
    <t>user_2r4JHoPUFllIsMqPLpSpMTSEtSj</t>
  </si>
  <si>
    <t>1996viki60@gmail.com</t>
  </si>
  <si>
    <t>user_2mC9qdQhjabBiiO5orn4t7La4Td</t>
  </si>
  <si>
    <t>antal20@fibermail.com</t>
  </si>
  <si>
    <t>user_2lL0SUz9l3M4t6HppLnuAqXVSZd</t>
  </si>
  <si>
    <t>csabikarcsi@gmail.com</t>
  </si>
  <si>
    <t>user_2qn96MqVPB1XWI4UooMcyHKQ7qA</t>
  </si>
  <si>
    <t>csordisajt@gmail.com</t>
  </si>
  <si>
    <t>user_2m0seFWsl2g6WF8pnVfYS3zyjrS</t>
  </si>
  <si>
    <t>eperkivi@gmail.com</t>
  </si>
  <si>
    <t>user_2wAcjwgkZi7jZxIanrl0U0bgMAa</t>
  </si>
  <si>
    <t>antalildiko3@gmail.com</t>
  </si>
  <si>
    <t>user_2lFegsMuWtojiRxioQbuUThOl7q</t>
  </si>
  <si>
    <t>balatonteri@gmail.com</t>
  </si>
  <si>
    <t>user_2x8kZgnUWEZECIdyT2qyJUDYmqd</t>
  </si>
  <si>
    <t>koszegilaszlo2021@gmail.com</t>
  </si>
  <si>
    <t>user_2mhfVqREb36sESqg4npmfZGZzOj</t>
  </si>
  <si>
    <t>schmidt.mihaly56@gmail.com</t>
  </si>
  <si>
    <t>user_2scz7s4hoZq3W9xMd1IhWi4td3F</t>
  </si>
  <si>
    <t>fazekasrmk@gmail.com</t>
  </si>
  <si>
    <t>483b1036-2ad5-4717-8eaf-98d8a1062455</t>
  </si>
  <si>
    <t>bence8195@gmail.com</t>
  </si>
  <si>
    <t>user_2nDJseyWlifpfS07fj7lJIRo6ou</t>
  </si>
  <si>
    <t>kata.meszaros@yahoo.com</t>
  </si>
  <si>
    <t>user_2nhB9njLc75N8ypK4C94dkkrdQN</t>
  </si>
  <si>
    <t>birone.k.anita@gmail.com</t>
  </si>
  <si>
    <t>user_2nDMLJ2Ga1gF7ng8DmgvdCBxzOF</t>
  </si>
  <si>
    <t>csabameszaros@gmail.hu</t>
  </si>
  <si>
    <t>user_2uIzBLoDlQSTnAvvoctdvPUNIbU</t>
  </si>
  <si>
    <t>bamiira99@gmail.com</t>
  </si>
  <si>
    <t>user_2uIPZ7WDeG2q8FqmbIMwID61GZZ</t>
  </si>
  <si>
    <t>drfefe99@gmail.com</t>
  </si>
  <si>
    <t>user_2x7bCeTsw788whPsI7MJxtfLM7b</t>
  </si>
  <si>
    <t>viragh.nikolett0727@gmail.com</t>
  </si>
  <si>
    <t>user_2lVHCvKYwcA0YKmIQsAt0zqSmDX</t>
  </si>
  <si>
    <t>taligas.csaba@gmail.com</t>
  </si>
  <si>
    <t>user_2oPASl7LKRuJfRTfPFBEcD5aTtj</t>
  </si>
  <si>
    <t>adrienne.tilli@gmail.com</t>
  </si>
  <si>
    <t>user_2z354BRDiFW5Pxw18oJeZHbWfTO</t>
  </si>
  <si>
    <t>volminator@gmail.com</t>
  </si>
  <si>
    <t>user_2x67FR17ObdT2ADDCrLEDkJuMD2</t>
  </si>
  <si>
    <t>ifj.torban.laszlo@gmail.com</t>
  </si>
  <si>
    <t>user_2vQu6FG6UwzeNTw4svoIfNxCPX7</t>
  </si>
  <si>
    <t>laszlosalamon63@gmail.com</t>
  </si>
  <si>
    <t>user_2uEGHMCN6gP5DjgwE79muU87vaJ</t>
  </si>
  <si>
    <t>ledenyizoltan1@gmail.com</t>
  </si>
  <si>
    <t>user_2vqTgB1b7Wq7LpwkYTnpa3DQ7go</t>
  </si>
  <si>
    <t>krisztian.vlasich@gmail.com</t>
  </si>
  <si>
    <t>user_2lnlTVZ4SDh3q1rahIWsnuYecwQ</t>
  </si>
  <si>
    <t>szgenna@gmail.com</t>
  </si>
  <si>
    <t>user_2mVaRkwhgjRezMPDdPSMuYX14UR</t>
  </si>
  <si>
    <t>balint.tarko@gmail.com</t>
  </si>
  <si>
    <t>user_2mT9EtOejYOv7fi8yQS9g6bvdNx</t>
  </si>
  <si>
    <t>fanni.baranyai92@gmail.com</t>
  </si>
  <si>
    <t>user_33CbmjTiC9AxDo42rmHCr1gU2Vj</t>
  </si>
  <si>
    <t>markpocsai0915@gmail.com</t>
  </si>
  <si>
    <t>user_2uV47hxWOgv0NjskMZjcPvL4y1Q</t>
  </si>
  <si>
    <t>vadnaiclaudia@gmail.com</t>
  </si>
  <si>
    <t>user_2uDIiRR0hYlqgKBnFEMn0PbYSnV</t>
  </si>
  <si>
    <t>katazso16@gmail.com</t>
  </si>
  <si>
    <t>user_2xwOcGCKXuRnL24AIMwr9E2cj9t</t>
  </si>
  <si>
    <t>zsuzsanna.hajdu@gmail.com</t>
  </si>
  <si>
    <t>user_2oUoZHRUzblu9o9fwTWZoz2456P</t>
  </si>
  <si>
    <t>tagyig@gmail.com</t>
  </si>
  <si>
    <t>user_32xiunP06lH9Sh3MR2s1ur2U7tA</t>
  </si>
  <si>
    <t>kertilaci01+@gmail.com</t>
  </si>
  <si>
    <t>user_32vajMmHI9BLNZAwYqRkN7i1SUZ</t>
  </si>
  <si>
    <t>evakosztane@gmail.com</t>
  </si>
  <si>
    <t>user_2nsODNlSE5JwA7OZDd71bJeKomg</t>
  </si>
  <si>
    <t>bacsi.gabriella@t-online.hu</t>
  </si>
  <si>
    <t>user_2lox2psXt3sfBr2UUpbYxmLjRJO</t>
  </si>
  <si>
    <t>szegevi@gmail.com</t>
  </si>
  <si>
    <t>user_2lUIfEjBco1kMRG3iOwyW7tZg5l</t>
  </si>
  <si>
    <t>alexandra.papp2@gmail.com</t>
  </si>
  <si>
    <t>user_2x5rqEqVt0q9Kcf7CceNyqPmPlX</t>
  </si>
  <si>
    <t>lovaszdorina0528@gmail.com</t>
  </si>
  <si>
    <t>user_2oNW16S5u0NtrJqiRAsjKaCaggn</t>
  </si>
  <si>
    <t>pcp1984@yahoo.com</t>
  </si>
  <si>
    <t>user_35IQHeiV1AyUkLKcxf1KjTgh0Ex</t>
  </si>
  <si>
    <t>balintdoszpoth@gmail.com</t>
  </si>
  <si>
    <t>user_2yBx4Toi4BRg0rQX52mlMZ2icZl</t>
  </si>
  <si>
    <t>ursusminimus@gmail.com</t>
  </si>
  <si>
    <t>user_2oW82XQheEF9wNjXMov6xsmQGVZ</t>
  </si>
  <si>
    <t>atkaribianka@gmail.com</t>
  </si>
  <si>
    <t>user_2lVgZk0syXnDYnWPWwP153q1ERb</t>
  </si>
  <si>
    <t>k.bea91@gmail.com</t>
  </si>
  <si>
    <t>user_2oM6tfQrpWPomBesvXCPDXy1mI5</t>
  </si>
  <si>
    <t>hercogtimi@gmail.com</t>
  </si>
  <si>
    <t>user_2oYtLHAAuU7T95UsVF8n4JzX25R</t>
  </si>
  <si>
    <t>budakitti86@gmail.com</t>
  </si>
  <si>
    <t>user_2ud7MfNGSdTOAQd73bkVZUERzkg</t>
  </si>
  <si>
    <t>orosz.csaba25@gmail.com</t>
  </si>
  <si>
    <t>user_2u8CVTfafgbtU7oed1j03RgOSsm</t>
  </si>
  <si>
    <t>drsimongergo@gmail.com</t>
  </si>
  <si>
    <t>user_2oLGHbkq8NEinZF0BVOO1ViZG5P</t>
  </si>
  <si>
    <t>zoltan.dreska9309@gmail.com</t>
  </si>
  <si>
    <t>user_2mAbWOg4IT2rts5KUKuzlrygBbQ</t>
  </si>
  <si>
    <t>platepro@gmail.com</t>
  </si>
  <si>
    <t>user_2n5wJ3fWcK9BW7fllhCAKlCRUrO</t>
  </si>
  <si>
    <t>robert.mekler59@gmail.com</t>
  </si>
  <si>
    <t>user_2mQtqg6W9G6qaCOCoebYx6MsYHz</t>
  </si>
  <si>
    <t>fkmalconx@gmail.com</t>
  </si>
  <si>
    <t>user_2mo4yprEom8iaGowXXF7b92x2KK</t>
  </si>
  <si>
    <t>karnuts@gmail.com</t>
  </si>
  <si>
    <t>user_2u7N99UfGmwMFZVAxBILqO8GDwn</t>
  </si>
  <si>
    <t>pter.donpedro@gmail.com</t>
  </si>
  <si>
    <t>user_2pXQE0LRnJ2609K2dlng3u51VVm</t>
  </si>
  <si>
    <t>orsos1966@gmail.com</t>
  </si>
  <si>
    <t>user_2u5dh2Ixgc1d89NDJzd3jRkLoDG</t>
  </si>
  <si>
    <t>timarmike7@gmail.com</t>
  </si>
  <si>
    <t>user_2ufN6qeLG9uVQwDEJSzY7kVb9cK</t>
  </si>
  <si>
    <t>tanczos.kovacs.barbara@gmail.com</t>
  </si>
  <si>
    <t>user_2pcTzHS2NTS36dZAXVhT43dhwFn</t>
  </si>
  <si>
    <t>kittibakay@gmail.com</t>
  </si>
  <si>
    <t>user_2nhN1DryLLXPST2D6FTc2xk0WhL</t>
  </si>
  <si>
    <t>fanni@kapos-net.hu</t>
  </si>
  <si>
    <t>user_2moW5XEUasbzEAUcS9crM49vwi9</t>
  </si>
  <si>
    <t>iroda@mac.com</t>
  </si>
  <si>
    <t>user_2u4wtXRZ1y9oY6Bb5hakX8m1pYt</t>
  </si>
  <si>
    <t>geszti@gmail.com</t>
  </si>
  <si>
    <t>user_2mQHaOR8lJSSe7bHDzW7GZL7fEK</t>
  </si>
  <si>
    <t>mdeaklaci@gmail.com</t>
  </si>
  <si>
    <t>user_2ru4JKIX1p7RZpBX2LrSvQev3II</t>
  </si>
  <si>
    <t>n.domika@gmail.com</t>
  </si>
  <si>
    <t>user_2q9IVRfsKEK0XsPIHl18e6nIcNO</t>
  </si>
  <si>
    <t>nandornecsiki@gmail.com</t>
  </si>
  <si>
    <t>user_2pJEf0jBfMNP5maRwyha11TastF</t>
  </si>
  <si>
    <t>dikike0808@gmail.com</t>
  </si>
  <si>
    <t>user_2niDT8t3wbdOwwDyHAOE9R41Dlw</t>
  </si>
  <si>
    <t>zoliballok@gmail.com</t>
  </si>
  <si>
    <t>user_2woAlOwV7CM8XPcrtiNgBeV9DmI</t>
  </si>
  <si>
    <t>bb-soft@freemail.hu</t>
  </si>
  <si>
    <t>user_2ufi0ICcSqtE4lFUc8D87UIGNy0</t>
  </si>
  <si>
    <t>adriennboros43@gmail.com</t>
  </si>
  <si>
    <t>user_2mYqHCyTzWRlZU76EbBvIbm4Rw6</t>
  </si>
  <si>
    <t>csiplak@gmail.com</t>
  </si>
  <si>
    <t>user_2vUYe3AtRrXyXG2MyLQwwNwMQxc</t>
  </si>
  <si>
    <t>bodrogiba@gmail.com</t>
  </si>
  <si>
    <t>user_2pTKziNi3hOKLu1iTNRQk80BPh2</t>
  </si>
  <si>
    <t>nikidozsa22@gmail.com</t>
  </si>
  <si>
    <t>user_2zEm1zsKzL9eKEXUMvYBwmYLVzF</t>
  </si>
  <si>
    <t>turzo.balazs97@gmail.com</t>
  </si>
  <si>
    <t>user_2zF41Om45lHK5KIdYc3sYyAL04T</t>
  </si>
  <si>
    <t>bfabian@windowslive.com</t>
  </si>
  <si>
    <t>user_2pUDSmq8VdmDqaP7BkGvXlfNMIH</t>
  </si>
  <si>
    <t>deritei.endre@gmail.com</t>
  </si>
  <si>
    <t>user_2vUQd5lpkOuAYYlLyKNX0rKzSdR</t>
  </si>
  <si>
    <t>ildiko.polovitzer@gmail.com</t>
  </si>
  <si>
    <t>user_2pUtMszPrUaYhVt7oVdtfIsuudv</t>
  </si>
  <si>
    <t>zupan.gergely@gmail.com</t>
  </si>
  <si>
    <t>user_2vUucSZ40SQWK4FOCWH48ypBFwV</t>
  </si>
  <si>
    <t>arnold.balint@freemail.hu</t>
  </si>
  <si>
    <t>user_2ktDMLA2lkLZAQXbhWlU4IFav6m</t>
  </si>
  <si>
    <t>drsgymail@gmail.com</t>
  </si>
  <si>
    <t>user_2ms5eG7oF6F0vm1EUqTAUGsX0ZL</t>
  </si>
  <si>
    <t>agica.gal.23@gmail.com</t>
  </si>
  <si>
    <t>user_2vXCEyA9lKEdBrEpfTfZ7AVy3cI</t>
  </si>
  <si>
    <t>viktor.renyi@gmail.com</t>
  </si>
  <si>
    <t>user_2pX41kLLNg2qTMlinlO2f5BibLW</t>
  </si>
  <si>
    <t>profiinstal.maier@gmail.com</t>
  </si>
  <si>
    <t>user_2vXWIe9yjJG0g5vsvqcBHXVdl12</t>
  </si>
  <si>
    <t>udvariszilveszter@gmail.com</t>
  </si>
  <si>
    <t>user_2vY5kRD8kawDIpYLwVFotl8o0iy</t>
  </si>
  <si>
    <t>ndorki@gmail.com</t>
  </si>
  <si>
    <t>user_2msnpoIUjkwRdUz8POo1PE1tlFz</t>
  </si>
  <si>
    <t>fklari82@gmail.com</t>
  </si>
  <si>
    <t>user_2vZiOakbeWlYAHu6mIbKJ45Ojxm</t>
  </si>
  <si>
    <t>mlevi88@gmail.com</t>
  </si>
  <si>
    <t>user_2mtDDp0bsY752wKbKrWS9LxDy70</t>
  </si>
  <si>
    <t>gergely.toth.84@gmail.com</t>
  </si>
  <si>
    <t>user_2vb68LYcINqahfHNfBL2gMnznXd</t>
  </si>
  <si>
    <t>bcsabi80@gmail.com</t>
  </si>
  <si>
    <t>user_2vbB6h9YgcHywNS2hCEcJShidj9</t>
  </si>
  <si>
    <t>jmolmos@t-email.hu</t>
  </si>
  <si>
    <t>user_2mtLl83Ut0XmXTcLftCFFS4OWvs</t>
  </si>
  <si>
    <t>ildikokocsis84@gmail.com</t>
  </si>
  <si>
    <t>user_2zP5TraQxJrwIyp217O6MIuljXO</t>
  </si>
  <si>
    <t>mariog187@gmail.com</t>
  </si>
  <si>
    <t>user_2zP8dmxpTgWHiJoIORpQzRzQOHG</t>
  </si>
  <si>
    <t>bencieee@gmail.com</t>
  </si>
  <si>
    <t>user_2pewf9ImaDYtRmbrlOx34X5uerL</t>
  </si>
  <si>
    <t>zspuspan@gmail.com</t>
  </si>
  <si>
    <t>user_2pfBORnd406SQMRlVceV0UP8x3b</t>
  </si>
  <si>
    <t>imrisek@gmail.com</t>
  </si>
  <si>
    <t>user_2vfNi2HJsCd0e5Uru21JEsRHgVQ</t>
  </si>
  <si>
    <t>bdorka26@gmail.com</t>
  </si>
  <si>
    <t>user_2vfPXp8jqR4TxzatEbFywwVVUY9</t>
  </si>
  <si>
    <t>toser.tamas@hotmail.com</t>
  </si>
  <si>
    <t>user_2vfZV1uoAGPaLrScfvgm27AiKpe</t>
  </si>
  <si>
    <t>adrienn42@gmail.com</t>
  </si>
  <si>
    <t>user_2vfflt0R0iIPPV0z6hY5bJaqgol</t>
  </si>
  <si>
    <t>gyvadon@gmail.com</t>
  </si>
  <si>
    <t>user_2pffzCMXv4Qb6C6a6hYPG4fyVUp</t>
  </si>
  <si>
    <t>bg@beniprod.hu</t>
  </si>
  <si>
    <t>user_2pg5E7k78uI0oVav0xwsd51Oz3k</t>
  </si>
  <si>
    <t>barycs.istvan@gmail.com</t>
  </si>
  <si>
    <t>user_2vhX3VEL8mK96UgVS65HZabB9KI</t>
  </si>
  <si>
    <t>kecskemetiarpad1992@gmail.com</t>
  </si>
  <si>
    <t>3d52b0fe-d905-40cb-8c27-391e5d64b41d</t>
  </si>
  <si>
    <t>zsancika1993@gmail.com</t>
  </si>
  <si>
    <t>user_2piK8K9EYeenKjwmo983yNW1vZN</t>
  </si>
  <si>
    <t>peterrozsasi@gmail.com</t>
  </si>
  <si>
    <t>user_2zVMNkkNLwGE4kXfzP66nrzFJpe</t>
  </si>
  <si>
    <t>kovacs.ivett87@gmail.com</t>
  </si>
  <si>
    <t>user_2pkRA8h4STwCStbcCPHWL1MnTqg</t>
  </si>
  <si>
    <t>csillalorincz2@gmail.com</t>
  </si>
  <si>
    <t>user_2lmTZkqfhffFvlswVVvXAYOiNTv</t>
  </si>
  <si>
    <t>pomaar13@gmail.com</t>
  </si>
  <si>
    <t>user_2zW4kmlC4TxRXUFDtAI5tuPHgkv</t>
  </si>
  <si>
    <t>czifrazoli@gmail.com</t>
  </si>
  <si>
    <t>user_2pkfuRN243HsUTPWJPEkbPl7ZJk</t>
  </si>
  <si>
    <t>aventcamp@gmail.com</t>
  </si>
  <si>
    <t>user_2mxwPE8fmRuzvnigviSEsLfAZvL</t>
  </si>
  <si>
    <t>menyhartne.k.aniko@gmail.com</t>
  </si>
  <si>
    <t>user_2pnBcRIyj7cOzgzBYE0aG3h98Z8</t>
  </si>
  <si>
    <t>miklos.csere@gmail.com</t>
  </si>
  <si>
    <t>user_2lmupKiP2lslUDmtf73wVM4YMOF</t>
  </si>
  <si>
    <t>sarkanygabcsi@gmail.com</t>
  </si>
  <si>
    <t>user_2vngZQ7qiqu5s4lmOpa1fa3OR8y</t>
  </si>
  <si>
    <t>srpeter.baldaszti@fortemann.com</t>
  </si>
  <si>
    <t>user_2po0RjUEO86dyqNjD139ghmGMup</t>
  </si>
  <si>
    <t>szabobia.91@gmail.com</t>
  </si>
  <si>
    <t>user_2vnoDUVHRYVUDQrEYErnyvJMPwx</t>
  </si>
  <si>
    <t>fazekasszilvi13@gmail.com</t>
  </si>
  <si>
    <t>user_2vo0GZiQeDApXLAhH69e5Tk8RDI</t>
  </si>
  <si>
    <t>vargaalexandra.szasza@gmail.com</t>
  </si>
  <si>
    <t>user_2vo8VroJQeg5pbia3w1R2D2YEU2</t>
  </si>
  <si>
    <t>danceskin@gmail.com</t>
  </si>
  <si>
    <t>user_2voEDvRFgHLI8N67pZDMmF7YDNB</t>
  </si>
  <si>
    <t>bacsomate1818@gmail.com</t>
  </si>
  <si>
    <t>user_2lnLPQNUYBm0Xe7hbyx4uFuZ6f1</t>
  </si>
  <si>
    <t>zsoltadasz@gmail.com</t>
  </si>
  <si>
    <t>user_2n1XRwNen9TO67Fro33n4cWdUqF</t>
  </si>
  <si>
    <t>jani0911@gmail.com</t>
  </si>
  <si>
    <t>user_2pq22jJIjhdoTVOA5gVIoyhwE2q</t>
  </si>
  <si>
    <t>gabor.czetter@gmail.com</t>
  </si>
  <si>
    <t>user_2voUDzLsPALcy93KMMV5kcokYWR</t>
  </si>
  <si>
    <t>kovacs.erika@live.com</t>
  </si>
  <si>
    <t>user_2pqQltUCtKOoD1JDsoMVqBiEpYj</t>
  </si>
  <si>
    <t>krisztina921@gmail.com</t>
  </si>
  <si>
    <t>user_2vp3FPsqEeiSUjRd7xLpFSlBR1z</t>
  </si>
  <si>
    <t>bacso74@freemail.hu</t>
  </si>
  <si>
    <t>user_2zavu8saLdORKzzmI7qn3sMs8YD</t>
  </si>
  <si>
    <t>berrydreamy@gmail.com</t>
  </si>
  <si>
    <t>user_2psbYYmutdF2V2vHy61hglwq5Lh</t>
  </si>
  <si>
    <t>csabaianette@gmail.com</t>
  </si>
  <si>
    <t>user_2zbCUfZDMY3GlLLUeQi2mgK4Hr4</t>
  </si>
  <si>
    <t>andrea.hordos@gmail.com</t>
  </si>
  <si>
    <t>user_2zbaKAu5RL0iaT2LX3mAzFz559O</t>
  </si>
  <si>
    <t>marianna.bilak5@gmail.com</t>
  </si>
  <si>
    <t>user_2pyV59HhDFGRznsJpI9MnMwExk7</t>
  </si>
  <si>
    <t>kovacs18keke@gmail.com</t>
  </si>
  <si>
    <t>user_2zda1nY6jRLLBS4HVYrejpUbzDT</t>
  </si>
  <si>
    <t>paszkitty@gmail.com</t>
  </si>
  <si>
    <t>user_2n4eS6nTj049v9nkO6mxGAf0nFs</t>
  </si>
  <si>
    <t>thehungarianrichmond@gmail.com</t>
  </si>
  <si>
    <t>user_2n4i9DdawGh5jIlGfPqJj2u2n0B</t>
  </si>
  <si>
    <t>szego01@gmail.com</t>
  </si>
  <si>
    <t>user_2q2fl4i5kHnlkAZpXHVq8iGtNwR</t>
  </si>
  <si>
    <t>klimiati@gmail.com</t>
  </si>
  <si>
    <t>user_2q7EfgdHAIjyCksf7arHgAW5ECp</t>
  </si>
  <si>
    <t>pristov.magdi@gmail.com</t>
  </si>
  <si>
    <t>user_2qDueWGb9jLVEXfZnzPL4wwK2bf</t>
  </si>
  <si>
    <t>dr.vozar.bianka@gmail.com</t>
  </si>
  <si>
    <t>user_2vuWXwTO2RCrVG7w4gEuggvpWbm</t>
  </si>
  <si>
    <t>mitsuki.vida@gmail.com</t>
  </si>
  <si>
    <t>user_2zg3itOkcvmyzOs1CcGPEGgktjx</t>
  </si>
  <si>
    <t>szucsviktor85@gmail.com</t>
  </si>
  <si>
    <t>user_2vuYczoFchHJuSRZYwuogWrcuKe</t>
  </si>
  <si>
    <t>rkindler@freemail.hu</t>
  </si>
  <si>
    <t>user_2n6OqASeibp7eqKDkD9cTZK6Vpu</t>
  </si>
  <si>
    <t>tamastibor55@gmail.com</t>
  </si>
  <si>
    <t>user_2qGO8jynyqD5LWgAVFWXkSFM8hj</t>
  </si>
  <si>
    <t>ceniko0123@gmail.com</t>
  </si>
  <si>
    <t>user_2l3pAOlnbt4fDI9Q9mRvLAsnL8S</t>
  </si>
  <si>
    <t>kissgabi22@gmail.com</t>
  </si>
  <si>
    <t>user_2ziMfGwXaFglf0RAUh4r9bm43cF</t>
  </si>
  <si>
    <t>harmatiszabi@gmail.com</t>
  </si>
  <si>
    <t>user_2zihgGHTXISiFYG9NytIOLi4cmF</t>
  </si>
  <si>
    <t>pzadori0712@gmail.com</t>
  </si>
  <si>
    <t>user_2vx6Upxfv2z9VCKL4b8n1ubM4l6</t>
  </si>
  <si>
    <t>ventusholding@gmail.com</t>
  </si>
  <si>
    <t>user_2n6oiUSFFvVxoXuRUxVo0QKQpYj</t>
  </si>
  <si>
    <t>palotaszs71@gmail.com</t>
  </si>
  <si>
    <t>user_2zjD7Xq9wmD92tjsgrt7QwJzRJo</t>
  </si>
  <si>
    <t>welorent@gmail.com</t>
  </si>
  <si>
    <t>user_2zlM4XH0pcwxyBfDGc49Meob8Ri</t>
  </si>
  <si>
    <t>szentgyo@gmail.com</t>
  </si>
  <si>
    <t>user_2w2RZPw111XlWYX2SFElRSRbGj0</t>
  </si>
  <si>
    <t>behina.kinga01@gmail.com</t>
  </si>
  <si>
    <t>user_2w2g4eBr61oIxaqVuOFFzHVCOt9</t>
  </si>
  <si>
    <t>birozsolt85@gmail.com</t>
  </si>
  <si>
    <t>user_2zoD96BIIHNFULQJm7Nf8pRME6E</t>
  </si>
  <si>
    <t>zsoltdanyi62@gmail.com</t>
  </si>
  <si>
    <t>user_2zor0ZHmiyrQj2INxsApzPq8DR5</t>
  </si>
  <si>
    <t>ferenc2kovacs5544@gmail.com</t>
  </si>
  <si>
    <t>user_2zqt3wqeYEgYFAKmqQs9FMB7YLU</t>
  </si>
  <si>
    <t>zsuzsa.torma1@gmail.com</t>
  </si>
  <si>
    <t>user_2w4bybkWD9mNgcpgBI7RMwUk9K6</t>
  </si>
  <si>
    <t>sztanigyula@gmail.com</t>
  </si>
  <si>
    <t>user_2w5LZS8oIm5B6aJDrIdEUPa8dnd</t>
  </si>
  <si>
    <t>bmkriszti97@gmail.com</t>
  </si>
  <si>
    <t>user_2w5kU2ZRwWGxfLlH1vO6yfIcYBL</t>
  </si>
  <si>
    <t>eva7501@icloud.com</t>
  </si>
  <si>
    <t>user_2nAEa1zsbyJqdwODvHcLAS3mFCf</t>
  </si>
  <si>
    <t>74hosszu@gmail.com</t>
  </si>
  <si>
    <t>user_2w7MMP3sFMn4yIjfLd4jBuYxhAb</t>
  </si>
  <si>
    <t>molnarsoma6@gmail.com</t>
  </si>
  <si>
    <t>user_2nAHX9ZV45sHQlX4Dsw0sae9HxZ</t>
  </si>
  <si>
    <t>mayertimi@hotmail.com</t>
  </si>
  <si>
    <t>user_2zuv4YL6M0E5w99qsJxCuzTfHeB</t>
  </si>
  <si>
    <t>rekarak@yahoo.com</t>
  </si>
  <si>
    <t>user_2zvFE86jhHMGM5FXH5fUoWcTG2i</t>
  </si>
  <si>
    <t>p.tomi1989@gmail.com</t>
  </si>
  <si>
    <t>user_2zvFYgrsLvIelgUZlsED2qUFQrI</t>
  </si>
  <si>
    <t>pallagarpad@gmail.com</t>
  </si>
  <si>
    <t>user_2lrvD1aN5J4lEnEklUG0SAYcjb9</t>
  </si>
  <si>
    <t>pelipannappp@gmail.com</t>
  </si>
  <si>
    <t>user_2qeGETBpECSYkAJKWOW0HRv8hwA</t>
  </si>
  <si>
    <t>gtmelinda@yahoo.com</t>
  </si>
  <si>
    <t>user_2w8nBpFHSX7QYCamRBgxOVrCCmx</t>
  </si>
  <si>
    <t>pappaniko96@gmail.com</t>
  </si>
  <si>
    <t>user_2nCHRnI1JWnwtcbne3jEPj7UMEp</t>
  </si>
  <si>
    <t>hkolos9@gmail.com</t>
  </si>
  <si>
    <t>user_2nCRqLcKSGE4yE247SfF72qdSXX</t>
  </si>
  <si>
    <t>attila.szepe@gmail.com</t>
  </si>
  <si>
    <t>user_2nCUbUTkmmT335HxjruNinUK48Z</t>
  </si>
  <si>
    <t>sz.medveczky@gmail.com</t>
  </si>
  <si>
    <t>user_2ql65qaAa5ZxnWUsjEYXQtegmCB</t>
  </si>
  <si>
    <t>monamanninger@gmail.com</t>
  </si>
  <si>
    <t>user_2nCbylHX9GmIzjfgULONGPwVdzY</t>
  </si>
  <si>
    <t>matesebok0506@gmail.com</t>
  </si>
  <si>
    <t>user_2qlK6z9zFcjl7HrNkF2T2NC8zpH</t>
  </si>
  <si>
    <t>l.diana0225@gmail.com</t>
  </si>
  <si>
    <t>user_2wALLidinrHaZC4uexZc4t0w8JQ</t>
  </si>
  <si>
    <t>kavasanszki.eszter@gmail.com</t>
  </si>
  <si>
    <t>user_2nDLWhicTaNxHT2usRrXk0ASKRu</t>
  </si>
  <si>
    <t>orisekzoltan@gmail.com</t>
  </si>
  <si>
    <t>user_2wAxZAlJTmPLVeYDfXzc7Xw4KUl</t>
  </si>
  <si>
    <t>soskozoltan@gmail.com</t>
  </si>
  <si>
    <t>user_303Bfp45J9gDKYrMFd4GjX6UWU6</t>
  </si>
  <si>
    <t>vargagergo0213@gmail.com</t>
  </si>
  <si>
    <t>user_2lshaJZSuyN0V4RqTe8h85xMfOh</t>
  </si>
  <si>
    <t>a3akos@gmail.com</t>
  </si>
  <si>
    <t>user_303yrESWvjPfmlVRM6CR9znfjBh</t>
  </si>
  <si>
    <t>klimajrenata22@gmail.com</t>
  </si>
  <si>
    <t>084896fd-7ad7-48cd-b1e9-228361ce0594</t>
  </si>
  <si>
    <t>miklahenrietta@gmail.com</t>
  </si>
  <si>
    <t>user_2qt7Mma0RDWoEWdlUzW5LYAxsrJ</t>
  </si>
  <si>
    <t>novakeszter13@gmail.com</t>
  </si>
  <si>
    <t>user_2nEzla82rWcjb3WSmryFjAPGYfK</t>
  </si>
  <si>
    <t>zsukmobi2019@gmail.com</t>
  </si>
  <si>
    <t>user_306t1AcJP7eknSkeKNCKiCsTook</t>
  </si>
  <si>
    <t>totbazsi77@gmail.com</t>
  </si>
  <si>
    <t>user_2wFpSdCTYaVrjIT3MLYmYci5rqB</t>
  </si>
  <si>
    <t>gyorgyloffler@gmail.com</t>
  </si>
  <si>
    <t>user_2wFtIm3vNfArQ55NDhJzOe6mNVJ</t>
  </si>
  <si>
    <t>andreakun70@gmail.com</t>
  </si>
  <si>
    <t>user_2wGM9gOEehLwp9irHTrtfo6puc8</t>
  </si>
  <si>
    <t>csakijo18@gmail.com</t>
  </si>
  <si>
    <t>user_2qvYYRsBT0rT9k0b0nunwb8KL64</t>
  </si>
  <si>
    <t>kszalay600@gmail.com</t>
  </si>
  <si>
    <t>user_2lAQpO4YLATClCZNRJKydIVSVwF</t>
  </si>
  <si>
    <t>danka@halker.hu</t>
  </si>
  <si>
    <t>user_30BbNN3dmPre9QQ5dlCRTnDidtl</t>
  </si>
  <si>
    <t>belatoth7504@gmail.com</t>
  </si>
  <si>
    <t>user_2lupjjihpm4zCt1b7NzrIKdr9ol</t>
  </si>
  <si>
    <t>doktor.duliskovich@gmail.com</t>
  </si>
  <si>
    <t>user_30CWWxf76A0mkgkHUSVidiERNTu</t>
  </si>
  <si>
    <t>berenyiadrienn1993@gmail.com</t>
  </si>
  <si>
    <t>user_2qyRePUxd7LOjfrZkjU9KhO6Kne</t>
  </si>
  <si>
    <t>norbert.suto@t-email.hu</t>
  </si>
  <si>
    <t>user_2lBPK7FYis1vH51u77Ica2V53ba</t>
  </si>
  <si>
    <t>pedina88@gmail.com</t>
  </si>
  <si>
    <t>user_2qzZNav4Vbu6LNElZL9156LTGY3</t>
  </si>
  <si>
    <t>kissdorina1992@gmail.com</t>
  </si>
  <si>
    <t>user_2wJlL9U9dvg9QcvjvdEDT2ynRKy</t>
  </si>
  <si>
    <t>agnes.vbarabas@gmail.com</t>
  </si>
  <si>
    <t>user_2wJtmlk6RFlD5JjabKHlrSQ3vmZ</t>
  </si>
  <si>
    <t>somazsolt78@gmail.com</t>
  </si>
  <si>
    <t>user_2r2Zep31LklUydLC5vx2BHHU6E2</t>
  </si>
  <si>
    <t>orsi.hetenyi@gmail.com</t>
  </si>
  <si>
    <t>user_2r2bjpwC8Q02DYQfXmRCwQuSGR6</t>
  </si>
  <si>
    <t>domakre@hotmail.com</t>
  </si>
  <si>
    <t>user_2lv10Q5qQNsBX6GsL0yHtV0umhS</t>
  </si>
  <si>
    <t>viktor.homonnay@gmail.com</t>
  </si>
  <si>
    <t>user_2lv6qJHAS0KCeH6BAJvcr0xh0s9</t>
  </si>
  <si>
    <t>pahi1laszlo@gmail.com</t>
  </si>
  <si>
    <t>user_2wLmbc3VDWgRqeNXKHHfneJinNt</t>
  </si>
  <si>
    <t>lang.andrea@windowslive.com</t>
  </si>
  <si>
    <t>user_30I1qrPRUtW2CmwV1ZDgNLdGf5S</t>
  </si>
  <si>
    <t>szamaraszne.ildiko@gmail.com</t>
  </si>
  <si>
    <t>user_30I3cOajLN7ho1fCsftW9SiljG3</t>
  </si>
  <si>
    <t>tamas197009@gmail.com</t>
  </si>
  <si>
    <t>user_2r5HFDqRlItkwDPB3phbf5MEQav</t>
  </si>
  <si>
    <t>99juhi99@gmail.com</t>
  </si>
  <si>
    <t>user_2lvAGvtlfYFGOwIwGs7oDrWXW5l</t>
  </si>
  <si>
    <t>agreen66@yahoo.com</t>
  </si>
  <si>
    <t>user_2nNFNkGIi206HVP1qKQWJgRoNaz</t>
  </si>
  <si>
    <t>szildiko44@freemail.hu</t>
  </si>
  <si>
    <t>user_2r84XslWv1fEJBg8kakyNyguVLT</t>
  </si>
  <si>
    <t>attilafraky@gmail.com</t>
  </si>
  <si>
    <t>user_30KpC2d9YzvG4DWh7w8PVf9bcow</t>
  </si>
  <si>
    <t>laszlok12@gmail.com</t>
  </si>
  <si>
    <t>user_2lBfECYxJR0mV1UlsXJhQiyNRUD</t>
  </si>
  <si>
    <t>tamascsoka@icloud.com</t>
  </si>
  <si>
    <t>user_2nOUd90EJ4TfFWhgPRxPWzBjooL</t>
  </si>
  <si>
    <t>davidanekromerbeata@gmail.com</t>
  </si>
  <si>
    <t>user_2wPISZAh5uepiFkIIFJ6Wu7Sz6d</t>
  </si>
  <si>
    <t>kelemen.nandor.richard@gmail.com</t>
  </si>
  <si>
    <t>user_2lvci9YzZ3R7itujsCCqfBPFOiR</t>
  </si>
  <si>
    <t>hudluk2@gmail.com</t>
  </si>
  <si>
    <t>user_2rDNjCJxBSVIt5eRxL9r1zIBj8O</t>
  </si>
  <si>
    <t>fuloplaszlo36@gmail.com</t>
  </si>
  <si>
    <t>user_2lC6TxYN3PEBv1pRoKnNUub6nR4</t>
  </si>
  <si>
    <t>adeleandras@gmail.com</t>
  </si>
  <si>
    <t>user_2nRC5WpRp2ljJt1kOKc1Vv4kZWa</t>
  </si>
  <si>
    <t>vincze.bernadett.9b@gmail.com</t>
  </si>
  <si>
    <t>user_2rI5TqrqCMNWODYYe6LrTBZ016u</t>
  </si>
  <si>
    <t>cscs1125@gmail.com</t>
  </si>
  <si>
    <t>user_2nRVDlBxOMCmxYNytEhzqSiByZL</t>
  </si>
  <si>
    <t>atkari.g@freemail.hu</t>
  </si>
  <si>
    <t>user_2nRc6KLOvp201kZylHnutYjwaPr</t>
  </si>
  <si>
    <t>gyepe78@gmail.com</t>
  </si>
  <si>
    <t>user_2lCDEshY5cgDe9JDEBEUKImoaLp</t>
  </si>
  <si>
    <t>karatsonyi.balazs@gmail.com</t>
  </si>
  <si>
    <t>user_2wSRKbjwzDgg2pu39J8A9HjwK5X</t>
  </si>
  <si>
    <t>molnarzoltan2392@gmail.com</t>
  </si>
  <si>
    <t>user_2lCLbim9PyXk6WL5ro9zIUFxF6L</t>
  </si>
  <si>
    <t>gyurmap@gmail.com</t>
  </si>
  <si>
    <t>user_30Y03zkHjpqkGBfKtJenaOzHwTs</t>
  </si>
  <si>
    <t>seresabel@gmail.com</t>
  </si>
  <si>
    <t>user_2wT4ny3YKs7qZ9QLtB63QVTtMip</t>
  </si>
  <si>
    <t>rajko.balint@gmail.com</t>
  </si>
  <si>
    <t>user_2wUEYyZ8e1GN94WSIOcfypbtWJ5</t>
  </si>
  <si>
    <t>takacskata28@gmail.com</t>
  </si>
  <si>
    <t>user_2wUF1P451Ltj7oawbBwQiJOyMW0</t>
  </si>
  <si>
    <t>hegyibazsi98@gmail.com</t>
  </si>
  <si>
    <t>user_2nTK65TtBfC2OVSIBjPJWQgu18M</t>
  </si>
  <si>
    <t>m.gy.job@gmail.com</t>
  </si>
  <si>
    <t>user_2rMY0S00Pe8yNgtdVpViDHtsSYo</t>
  </si>
  <si>
    <t>dfpdris@gmail.com</t>
  </si>
  <si>
    <t>user_2rOUxtxZRZHbsvNTCPrSM4GubX9</t>
  </si>
  <si>
    <t>szabobeata25@gmail.com</t>
  </si>
  <si>
    <t>user_2nU8fQv63GLGyl6W25gFaTNHJZc</t>
  </si>
  <si>
    <t>olaci53@gmail.com</t>
  </si>
  <si>
    <t>user_2wV7xr8Fc6Mm8K9DJoLJ5qdrrEO</t>
  </si>
  <si>
    <t>patrik19970429@gmail.com</t>
  </si>
  <si>
    <t>user_2wVbzH7sSZe8grJTjLWQEaJGvYC</t>
  </si>
  <si>
    <t>roskobalint@gmail.com</t>
  </si>
  <si>
    <t>user_2rR3btHLhOEjzzDmUbI5VUUyixl</t>
  </si>
  <si>
    <t>pappandi2221@gmail.com</t>
  </si>
  <si>
    <t>user_30g6e1tyzNmamcxOjpm3kQ7Jmim</t>
  </si>
  <si>
    <t>mihaly.zatyko@gmail.com</t>
  </si>
  <si>
    <t>user_2nUHLPR9oWFj2d0wlWjo7Yr1fyz</t>
  </si>
  <si>
    <t>ferenczi1969@gmail.com</t>
  </si>
  <si>
    <t>2d6e5ec7-fac0-404a-93ea-b491a1c4a582</t>
  </si>
  <si>
    <t>kecskesnecsk@gmail.com</t>
  </si>
  <si>
    <t>user_30giQ7CyDuDQStYscDJDGDeVTAh</t>
  </si>
  <si>
    <t>usterzsi@gmail.com</t>
  </si>
  <si>
    <t>user_2wXDfY2Dr25zLKhc5Q5lTc884fC</t>
  </si>
  <si>
    <t>dozsnyak@hotmail.com</t>
  </si>
  <si>
    <t>user_2rUDgHdPFbRUnap2Kn5UPCRiAzY</t>
  </si>
  <si>
    <t>adam0721@freemail.hu</t>
  </si>
  <si>
    <t>user_2rUUh0rUNSOprv504YDWmUTDLIm</t>
  </si>
  <si>
    <t>andrea.barnane@gmail.com</t>
  </si>
  <si>
    <t>user_2wXm2mNCSC4H8itxwTpznscdO3q</t>
  </si>
  <si>
    <t>alzambalzam@gmail.com</t>
  </si>
  <si>
    <t>user_2nVmUjAD9RQdXvkr0Y9IyrHouUx</t>
  </si>
  <si>
    <t>weingartner.peter@gmail.com</t>
  </si>
  <si>
    <t>user_30hlrCKb5p3jDeT6Zl0vsvwRKPn</t>
  </si>
  <si>
    <t>tamas.szandii@gmail.com</t>
  </si>
  <si>
    <t>user_2nVo9EiETquULili46Jw6GYPG0y</t>
  </si>
  <si>
    <t>tamas.reinhardt@gmail.com</t>
  </si>
  <si>
    <t>user_2nW1JUHxev3cSrOObapjCsBZXVD</t>
  </si>
  <si>
    <t>bodord84@gmail.com</t>
  </si>
  <si>
    <t>user_2waVeqOgTkr1NUnZicrzuDVqmzd</t>
  </si>
  <si>
    <t>forgacsfr10@gmail.com</t>
  </si>
  <si>
    <t>user_2rXEfunzGuGUIMKlqD7yiGn6z3Q</t>
  </si>
  <si>
    <t>bagamery.menyhert@automery.hu</t>
  </si>
  <si>
    <t>user_2nWTaZL9rQx36g8xCTBmRSATVff</t>
  </si>
  <si>
    <t>sz.zsuzsa77@freemail.hu</t>
  </si>
  <si>
    <t>user_30mvTsxgJWMqiymI4BX1MXLp79o</t>
  </si>
  <si>
    <t>firniksz.david@gmail.com</t>
  </si>
  <si>
    <t>user_2lyPs7n9nAktoZ8NlhSNOBKrDvA</t>
  </si>
  <si>
    <t>sasa36035@gmail.com</t>
  </si>
  <si>
    <t>user_2wctIioduJ52FWBkDwc0y7LzkCC</t>
  </si>
  <si>
    <t>gajdgyuri@gmail.com</t>
  </si>
  <si>
    <t>user_2rYuFNdQlJzo2Y00giaZMj1wcry</t>
  </si>
  <si>
    <t>szirmai.krisz@gmail.com</t>
  </si>
  <si>
    <t>user_2wdPA6Ki70CMDdoEtkcz3Nynfm2</t>
  </si>
  <si>
    <t>abeldiana83@gmail.com</t>
  </si>
  <si>
    <t>user_2lyVYx7KMFyOdmXmkP864I3327E</t>
  </si>
  <si>
    <t>medvezsolt79@freemail.hu</t>
  </si>
  <si>
    <t>user_2rZQ8zdsvduRU7fw8obMRdslP0U</t>
  </si>
  <si>
    <t>farkas.andras75@gmail.com</t>
  </si>
  <si>
    <t>user_2wdqMxat4AK18g58hQyz4qlPGLn</t>
  </si>
  <si>
    <t>alfaboy@freemail.hu</t>
  </si>
  <si>
    <t>user_2rZqD64NIQazLBA12UJm3a1fyqm</t>
  </si>
  <si>
    <t>jani.janos6774@gmail.com</t>
  </si>
  <si>
    <t>user_2ra59FJt4dPehS1pFL3f02VP708</t>
  </si>
  <si>
    <t>hulutaflorin@gmail.com</t>
  </si>
  <si>
    <t>user_2wfK6caHlF0sBaYwtDqbJdi60jh</t>
  </si>
  <si>
    <t>hornyakmiklos70@gmail.com</t>
  </si>
  <si>
    <t>user_2wfOpfOJ1e6HSznY3P8J5uaB0Xd</t>
  </si>
  <si>
    <t>axy.balazs@gmail.com</t>
  </si>
  <si>
    <t>user_2wfQ3R31MZuxZMkhshqvwHqQ2Jv</t>
  </si>
  <si>
    <t>juszuf78@gmail.com</t>
  </si>
  <si>
    <t>user_2nYS6As733pWe6QdREcVgBZUR9l</t>
  </si>
  <si>
    <t>drabbante@gmail.com</t>
  </si>
  <si>
    <t>user_30rgFt3Qi9QLCtBBVSgwCXRn8a3</t>
  </si>
  <si>
    <t>rinkocsalad@gmail.com</t>
  </si>
  <si>
    <t>user_2nYrlwEEQb6Zc4Ejk6ERY9bgcv2</t>
  </si>
  <si>
    <t>bodonpal@gmail.com</t>
  </si>
  <si>
    <t>user_2rcidCbGznk49oWiyYEYC9Nru9P</t>
  </si>
  <si>
    <t>judit@colorplan.hu</t>
  </si>
  <si>
    <t>user_2wfpoZihBcH6CWtwbIFcklmgmDh</t>
  </si>
  <si>
    <t>david.pajor@gmail.com</t>
  </si>
  <si>
    <t>user_2wg2BlI6S8bV0oh3JuKsOuckwyM</t>
  </si>
  <si>
    <t>odianna75@gmail.com</t>
  </si>
  <si>
    <t>user_2rekyGWXuxctQFGB4ZMJdvSsTVo</t>
  </si>
  <si>
    <t>fazekas.denis.pecs@gmail.com</t>
  </si>
  <si>
    <t>user_2rfUBmo956mjiuGZmcVsTFSM5Wn</t>
  </si>
  <si>
    <t>d.korosi96@gmail.com</t>
  </si>
  <si>
    <t>user_2m0RLaDdoxVIcmspINKKq4H39sR</t>
  </si>
  <si>
    <t>esztertoth81@yahoo.com</t>
  </si>
  <si>
    <t>user_2wggIMCGXYmQK2rQ3RrgS8mbQ3T</t>
  </si>
  <si>
    <t>hecsaba@gmail.com</t>
  </si>
  <si>
    <t>user_2lEkDseS1VLseXPNo4jgKML45Zv</t>
  </si>
  <si>
    <t>kalimambino@gmail.com</t>
  </si>
  <si>
    <t>user_30vIRsE7QuwlkHjHlDnBsaz2kXd</t>
  </si>
  <si>
    <t>imrich.nagy25@gmail.com</t>
  </si>
  <si>
    <t>user_30xP1oPRAhIMf2R7qtH7bndBe9l</t>
  </si>
  <si>
    <t>majortundi73@gmail.com</t>
  </si>
  <si>
    <t>user_2wiNEGJXVvKi83wXXR1O5krL7aF</t>
  </si>
  <si>
    <t>szesziliaszeszilia@gmail.com</t>
  </si>
  <si>
    <t>user_2ncNRSlb0hVysbPc5OJbm9TZp7m</t>
  </si>
  <si>
    <t>somenekpeter@gmail.com</t>
  </si>
  <si>
    <t>user_2m17u9tgqkmywJlIGEcgVHWr6ZG</t>
  </si>
  <si>
    <t>mesko33@gmail.com</t>
  </si>
  <si>
    <t>user_2neJOXiP51wL3WmP91PK8MaoR0I</t>
  </si>
  <si>
    <t>besitrans7393@gmail.com</t>
  </si>
  <si>
    <t>1b629c2c-8871-4cd2-bc06-e1d343585747</t>
  </si>
  <si>
    <t>zszvatko@gmail.com</t>
  </si>
  <si>
    <t>user_2necbNlC4BbFXzCx1mf63qQz359</t>
  </si>
  <si>
    <t>zsefi11@gmail.com</t>
  </si>
  <si>
    <t>user_2wleXr8YSKqi1cEmCPvpGKb06xW</t>
  </si>
  <si>
    <t>laszlo.bettina.lilla@gmail.com</t>
  </si>
  <si>
    <t>user_2wlsQr7m4FdsCClxKOmcjqMaA8k</t>
  </si>
  <si>
    <t>zozi76@freemail.hu</t>
  </si>
  <si>
    <t>user_2rqqEMZHaWFtPcoCQIDi0AMGHF7</t>
  </si>
  <si>
    <t>mariann0127@gmail.com</t>
  </si>
  <si>
    <t>user_316xwm6VEKSE4clhPh8VThVtl7E</t>
  </si>
  <si>
    <t>petrovszkierika@gmail.com</t>
  </si>
  <si>
    <t>user_2m1wRJhLVaBQiVg5MvMCb3GtwHC</t>
  </si>
  <si>
    <t>naffy44@gmail.com</t>
  </si>
  <si>
    <t>user_2rt3geHYcgdbRcHrnxEVjC2D99N</t>
  </si>
  <si>
    <t>acsimre@gmail.com</t>
  </si>
  <si>
    <t>user_2m3y6LZ4ezJJqGsZS0aTnkxw0hg</t>
  </si>
  <si>
    <t>cyrrusz@gmail.com</t>
  </si>
  <si>
    <t>user_319WeKkTeHiT4D54I9XpMMvM8Un</t>
  </si>
  <si>
    <t>korpicsgabi@gmail.com</t>
  </si>
  <si>
    <t>c0dc0067-8463-4092-b377-819904dc6c39</t>
  </si>
  <si>
    <t>krisztian.buzas@icloud.com</t>
  </si>
  <si>
    <t>user_2rypwrZe18c6h5Ih218c0xSf7XR</t>
  </si>
  <si>
    <t>attila.iglodi0314@gmail.com</t>
  </si>
  <si>
    <t>user_31DxjQRagqwck9O2QKSez7UNzWo</t>
  </si>
  <si>
    <t>zimonyimelinda86@gmail.com</t>
  </si>
  <si>
    <t>user_2rzMgmzQfW7tgo5oQQWLo2qlMUB</t>
  </si>
  <si>
    <t>akosverbai07@gmail.com</t>
  </si>
  <si>
    <t>user_2wr2jL1LmXQ2ky8YmXv0m7x0n0w</t>
  </si>
  <si>
    <t>monika.soltesz43@gmail.com</t>
  </si>
  <si>
    <t>user_31GjaWglHeSbF55LVYXeMt3Voxl</t>
  </si>
  <si>
    <t>ernatacsi@gmail.com</t>
  </si>
  <si>
    <t>9879c7b3-3fa5-4219-8739-0042f7c5469e</t>
  </si>
  <si>
    <t>nemethcsilla200@gmail.com</t>
  </si>
  <si>
    <t>user_2lHP0Q76MAZOiSNC36pHw3qhbtG</t>
  </si>
  <si>
    <t>farago.rozsa57@gmail.com</t>
  </si>
  <si>
    <t>user_2wuDomawAxurqmwy7W8dnzBAntD</t>
  </si>
  <si>
    <t>kiszlinger1988@gmail.com</t>
  </si>
  <si>
    <t>user_2m6g3qzJP4sNDWc0IjbFt8I4FNq</t>
  </si>
  <si>
    <t>ritter.gyongyi66@gmail.com</t>
  </si>
  <si>
    <t>user_2wuNeeHQrXwi6VxHiP8bILpheuK</t>
  </si>
  <si>
    <t>koszegiedina@t-online.hu</t>
  </si>
  <si>
    <t>user_2m6yxgUoURHcfpvlOWv3KJLjdRF</t>
  </si>
  <si>
    <t>arpi.toth1997@gmail.com</t>
  </si>
  <si>
    <t>user_2lHPIQCa0EOalLO6VXDcwQ9I5Vx</t>
  </si>
  <si>
    <t>zambori.zsolt87@gmail.com</t>
  </si>
  <si>
    <t>user_2nlAGOwESCcpGl89ewKNodDayit</t>
  </si>
  <si>
    <t>kacska0302@gmail.com</t>
  </si>
  <si>
    <t>ab21b5bf-7aa7-43c6-a9fe-0baed5ddc867</t>
  </si>
  <si>
    <t>henysulyok@gmail.com</t>
  </si>
  <si>
    <t>user_2s8B46l4lBSANq7qnreN4ATo6i1</t>
  </si>
  <si>
    <t>kerekes.zolika20150814@gmail.com</t>
  </si>
  <si>
    <t>user_2nmxmAsX8hyY8o0YyqkzLlmHUhx</t>
  </si>
  <si>
    <t>sreterani@gmail.com</t>
  </si>
  <si>
    <t>user_31NgBs8NlCpiDjoKcThv10aFk8Q</t>
  </si>
  <si>
    <t>koszler.ferenc@gmail.com</t>
  </si>
  <si>
    <t>user_2m7Ih6ksh02jBS6CuOHDhtRqVhq</t>
  </si>
  <si>
    <t>fraknoy@gmail.com</t>
  </si>
  <si>
    <t>user_2wxXVrh84qJ7dwshuNn4uv1Eitw</t>
  </si>
  <si>
    <t>ujvaryfanni13@gmail.com</t>
  </si>
  <si>
    <t>user_2wxXqCpgRIHpCa9NEPpKlix8UvM</t>
  </si>
  <si>
    <t>ballaautomentes@gmail.com</t>
  </si>
  <si>
    <t>user_31PfQ2fs46BJfrUZItKZjHMz8XC</t>
  </si>
  <si>
    <t>mariannpocsi@gmail.com</t>
  </si>
  <si>
    <t>user_2sCzF1wFeTrM6fscVTG8XzlJbvr</t>
  </si>
  <si>
    <t>vasi.zoltan1979@gmail.com</t>
  </si>
  <si>
    <t>user_2sD23KecgyuqV7XgzKDOvrRbq9Q</t>
  </si>
  <si>
    <t>kamionandi1@gmail.com</t>
  </si>
  <si>
    <t>user_2m9BnJEOLxnzvU3YttMij5tab0c</t>
  </si>
  <si>
    <t>hajni.apple.kathi@gmail.com</t>
  </si>
  <si>
    <t>user_2sJ31QMZI2x3mwXW60cGamU5xSb</t>
  </si>
  <si>
    <t>ordogh82@gmail.com</t>
  </si>
  <si>
    <t>user_2sJh2tZCbMvTgIyaAGqQtK8SvGU</t>
  </si>
  <si>
    <t>banki.gabor.ing@gmail.com</t>
  </si>
  <si>
    <t>user_2npcibnN0SDcvHlLjOaN9gFWSWu</t>
  </si>
  <si>
    <t>sz.reni0724@gmail.com</t>
  </si>
  <si>
    <t>c3a62eef-1fb7-4a19-acd7-d67232824753</t>
  </si>
  <si>
    <t>gabor.kishazi@gmail.com</t>
  </si>
  <si>
    <t>user_2npw38VvWNf1cjVrFXbO7WgrTj2</t>
  </si>
  <si>
    <t>kovacs.balazs72@gmail.com</t>
  </si>
  <si>
    <t>user_2x05ux2ysf0xquL4udnyMViLovv</t>
  </si>
  <si>
    <t>goldtop20180612@gmail.com</t>
  </si>
  <si>
    <t>user_2m9QlRAOtmySn1yuox1Xcfxin0k</t>
  </si>
  <si>
    <t>kajzinger.a@gmail.com</t>
  </si>
  <si>
    <t>user_31UzUDxAC88ow7bF1bM1KB27bhN</t>
  </si>
  <si>
    <t>veghfanni@gmail.com</t>
  </si>
  <si>
    <t>user_2nqHFjErtJDYiKJm3NFJCGmcBeG</t>
  </si>
  <si>
    <t>solya0001@gmail.com</t>
  </si>
  <si>
    <t>user_2sOzblZGGsidc6cQwbfQY2WvBIe</t>
  </si>
  <si>
    <t>paljudit80@gmail.com</t>
  </si>
  <si>
    <t>user_2x2XyA5e13IlrBKqZQrWvWadr72</t>
  </si>
  <si>
    <t>sagikornelia72@gmail.com</t>
  </si>
  <si>
    <t>user_2x2q7A4aorAjRsFpMWOsNJlwKmn</t>
  </si>
  <si>
    <t>r.monika@hazaipalinka.hu</t>
  </si>
  <si>
    <t>user_2nqfV27zUkfIOyl26qENpbhcY0A</t>
  </si>
  <si>
    <t>solyom.laszlo.matrai@hotmail.com</t>
  </si>
  <si>
    <t>user_2lIkftd9HFS2AonljdqQD8jjVHQ</t>
  </si>
  <si>
    <t>fitkithun@gmail.com</t>
  </si>
  <si>
    <t>user_2m9poS2q9UzPfPmJrVf3nPXIC7r</t>
  </si>
  <si>
    <t>anikozador@gmail.com</t>
  </si>
  <si>
    <t>user_2sUSrYiNw97vbLqooOS0Oz31DJw</t>
  </si>
  <si>
    <t>nyulorsolya97@gmail.com</t>
  </si>
  <si>
    <t>user_2lJmxCKvdt93IvWBqhrdVaLB1G8</t>
  </si>
  <si>
    <t>belesz.akosne@gmail.com</t>
  </si>
  <si>
    <t>user_2sWas5JRny8ucwyMmByGCA0RGKp</t>
  </si>
  <si>
    <t>parosvera@gmail.com</t>
  </si>
  <si>
    <t>user_2nr6acgjIdNhPes33nbTtYyA2SN</t>
  </si>
  <si>
    <t>gergo.dorottya@gmail.com</t>
  </si>
  <si>
    <t>user_2x5CkcsezLlzO1cYcKedHLxE6O2</t>
  </si>
  <si>
    <t>zsazsa.v78@gmail.com</t>
  </si>
  <si>
    <t>user_2nr72VQbJ1Jf9FvL3YGJzY8ZIT2</t>
  </si>
  <si>
    <t>ferenczabel0612@gmail.com</t>
  </si>
  <si>
    <t>user_2x5KO8zCt793GRjwbhdCNOcnDjl</t>
  </si>
  <si>
    <t>leh.kili03@gmail.com</t>
  </si>
  <si>
    <t>user_31afEdl0n1naDggcOsiP4E6NTW8</t>
  </si>
  <si>
    <t>kocsis.edina08@gmail.com</t>
  </si>
  <si>
    <t>user_2nrxwg11KVW7hiGwkCjGnyKe0Z2</t>
  </si>
  <si>
    <t>ktamas182@gmail.com</t>
  </si>
  <si>
    <t>user_2mAZaWyu15nxeQlYGRrScLXcvbm</t>
  </si>
  <si>
    <t>elvira.vinkler@gmail.com</t>
  </si>
  <si>
    <t>user_31dSN79vntc2BZdQisLtib1N3ue</t>
  </si>
  <si>
    <t>anikoperi82@gmail.com</t>
  </si>
  <si>
    <t>user_2mAkmGs4WFnfU1xqbmNa7msreew</t>
  </si>
  <si>
    <t>posanjanos@freemail.hu</t>
  </si>
  <si>
    <t>user_2mBWMH31debg8yHZTWpRCFdbihb</t>
  </si>
  <si>
    <t>evelyn.jaszberenyi@gmail.com</t>
  </si>
  <si>
    <t>f8486469-600d-47bc-93ef-e43e723a2ea5</t>
  </si>
  <si>
    <t>szbkriszti@freemail.hu</t>
  </si>
  <si>
    <t>user_2x7RabVLjVIRdinsFygkJp0zH9P</t>
  </si>
  <si>
    <t>tothbalazs2010@gmail.com</t>
  </si>
  <si>
    <t>user_2ntol6PsiqUwtLGmSTeqZp64bbk</t>
  </si>
  <si>
    <t>szabo.ferenc1213@gmail.com</t>
  </si>
  <si>
    <t>user_2ntpb89blgUjk9fKYUKW63fNzs1</t>
  </si>
  <si>
    <t>domino19@pobox.sk</t>
  </si>
  <si>
    <t>user_2nutNy1RNJXk1c4ufVTiCEh4RyU</t>
  </si>
  <si>
    <t>kalenyak.edina@gmail.com</t>
  </si>
  <si>
    <t>user_2x8iVp0d3xJhGqHnVGio1cpdhiw</t>
  </si>
  <si>
    <t>ivaneszkft@gmail.com</t>
  </si>
  <si>
    <t>user_31gy1yvqVDJj7jUnUgklQZ5cHsA</t>
  </si>
  <si>
    <t>somogyi.szilva@gmail.com</t>
  </si>
  <si>
    <t>user_2lKk7ui2xo9Q39eOrCqFf3P4x28</t>
  </si>
  <si>
    <t>joco5859@freemail.hu</t>
  </si>
  <si>
    <t>user_31hTDjshLzPhxpqSMcrzD6oIBB6</t>
  </si>
  <si>
    <t>szarazfanni1@gmail.com</t>
  </si>
  <si>
    <t>user_2lL9mgMFFIvfXKcwXgAHC4WeRe3</t>
  </si>
  <si>
    <t>cilikebalazs@freemail.hu</t>
  </si>
  <si>
    <t>user_2sivG2zLtWQTarirStkK3i7MXta</t>
  </si>
  <si>
    <t>zzsurajr@gmail.com</t>
  </si>
  <si>
    <t>user_2sliSxzyRQfl0Lbt6lNMXQDKegr</t>
  </si>
  <si>
    <t>zoey.gemins@gmail.com</t>
  </si>
  <si>
    <t>user_2nw4Q3cHNd28D4mUl1KbfQdHXzJ</t>
  </si>
  <si>
    <t>barnasz82@gmail.com</t>
  </si>
  <si>
    <t>user_2xDFC0i1OHcducnlajznHVWAaRz</t>
  </si>
  <si>
    <t>mhuszar@icloud.com</t>
  </si>
  <si>
    <t>user_2nwKd6eVy0nLV9AUfo7iaY4h7Iz</t>
  </si>
  <si>
    <t>mitja762@gmail.com</t>
  </si>
  <si>
    <t>user_2nwOUGN9heBHVu7rCUqxMnQ5qRj</t>
  </si>
  <si>
    <t>czarcsilla23@gmail.com</t>
  </si>
  <si>
    <t>user_2xDlMfw2pxbfymX5Nf35jJjiitk</t>
  </si>
  <si>
    <t>sankovics.petra@gmail.com</t>
  </si>
  <si>
    <t>user_31pdm7mEBeJOU8wol33KAnher8v</t>
  </si>
  <si>
    <t>norbert.krausz86@gmail.com</t>
  </si>
  <si>
    <t>user_2ny2JbdccfIrpz8iWpz70R7ZFXH</t>
  </si>
  <si>
    <t>munkatars5000@gmail.com</t>
  </si>
  <si>
    <t>user_2xEcSIpo2FKhMKK9m4PTXgsBaVg</t>
  </si>
  <si>
    <t>marczali.armand84@gmail.com</t>
  </si>
  <si>
    <t>user_2xG9b5cRuj58aawiMMwFZFsk8mV</t>
  </si>
  <si>
    <t>tundesalma@gmail.com</t>
  </si>
  <si>
    <t>user_31rUVWiisyOdMUCPFspePedLrUx</t>
  </si>
  <si>
    <t>kato.timi96@gmail.com</t>
  </si>
  <si>
    <t>user_2xGGSqIdxoAglTt3fQhMG9dN7Wb</t>
  </si>
  <si>
    <t>mbarna75@gmail.com</t>
  </si>
  <si>
    <t>user_2nyWwQIFh0LyQVHH5Ek2WwgjD74</t>
  </si>
  <si>
    <t>amon64ferenc@gmail.com</t>
  </si>
  <si>
    <t>user_2mEdOZaZnwnLSbTsfiSidal9Xih</t>
  </si>
  <si>
    <t>pavliklaci@gmail.com</t>
  </si>
  <si>
    <t>user_2nymVY7KyE9pQTfkmtDMGqDP0L4</t>
  </si>
  <si>
    <t>muharlaszlo@freemail.hu</t>
  </si>
  <si>
    <t>user_2mEy6dkn8xz5okwzCE002Be2PB9</t>
  </si>
  <si>
    <t>domedic33@gmail.com</t>
  </si>
  <si>
    <t>user_2sxPMVVWqpxKVEGHCtGkxtsIIVi</t>
  </si>
  <si>
    <t>tibornator17@gmail.com</t>
  </si>
  <si>
    <t>user_2nzRGgf82FzOQfsmdv4KIpMvZBb</t>
  </si>
  <si>
    <t>akire_randob@yahoo.com</t>
  </si>
  <si>
    <t>user_2t2KfJYV9V9Gl5unIWV3UBWxtL9</t>
  </si>
  <si>
    <t>id.pikacs@gmail.com</t>
  </si>
  <si>
    <t>user_2o10agRYpPn1Jx316hrHPKjs9Mj</t>
  </si>
  <si>
    <t>anikrisz76@gmail.com</t>
  </si>
  <si>
    <t>user_2xKlAi8soVdU3hhUaP9ITJL4Wee</t>
  </si>
  <si>
    <t>tigergunner18@gmail.com</t>
  </si>
  <si>
    <t>user_2t33MwId7Ex2G3dWxWNhoUA0D9k</t>
  </si>
  <si>
    <t>akbenko@outlook.de</t>
  </si>
  <si>
    <t>user_2xMLQKYQ4wXkrWbi6HEuDQe2bfO</t>
  </si>
  <si>
    <t>gyurma70@gmail.com</t>
  </si>
  <si>
    <t>user_2t4fjZqsPaiCa0MknDzckDoDgys</t>
  </si>
  <si>
    <t>adamradvanyi@gmail.com</t>
  </si>
  <si>
    <t>user_320D3vnWdPK4wG1QkYYrrm1ZUuW</t>
  </si>
  <si>
    <t>anita800711@gmail.com</t>
  </si>
  <si>
    <t>user_2tAYOUWTIU8gX0IyhNwaaPEkLFL</t>
  </si>
  <si>
    <t>draganrakic.biba@gmail.com</t>
  </si>
  <si>
    <t>34e541d2-d202-4b11-9e48-6342a8e2e154</t>
  </si>
  <si>
    <t>tamarakassa0@gmail.com</t>
  </si>
  <si>
    <t>user_2mG6rqr3phdZsCSkzF2XfV7PxU2</t>
  </si>
  <si>
    <t>abalogh80@gmail.com</t>
  </si>
  <si>
    <t>user_2tGusfWd3x5CL8bEEmMvwIVEM8W</t>
  </si>
  <si>
    <t>szalaisarolta@gmail.com</t>
  </si>
  <si>
    <t>user_2xOzW7KC8dmA2rwJum18bKJ3lIc</t>
  </si>
  <si>
    <t>kusztor.andrea@gmail.com</t>
  </si>
  <si>
    <t>user_323W9cYMP76plldq8Q5YP88G7Cw</t>
  </si>
  <si>
    <t>nagypetru70@gmail.com</t>
  </si>
  <si>
    <t>user_2tJRNwdKBAPQdd9WucLRf5Xpom8</t>
  </si>
  <si>
    <t>nagybea1976@gmail.com</t>
  </si>
  <si>
    <t>user_2mHM1Ttg1egJLUncrUNBuCUX7mi</t>
  </si>
  <si>
    <t>szirony66@gmail.com</t>
  </si>
  <si>
    <t>user_2xP7v5hZIXhtFcPPqmbiUbbbz5K</t>
  </si>
  <si>
    <t>ruboczkidorka@gmail.com</t>
  </si>
  <si>
    <t>user_2xPx3bmjCELEIQW8L3pmXo7EybM</t>
  </si>
  <si>
    <t>a.gergely83@gmail.com</t>
  </si>
  <si>
    <t>user_2xQB6uDXClMg5Bp6PcTODuWXfBI</t>
  </si>
  <si>
    <t>cegesposta@gmail.com</t>
  </si>
  <si>
    <t>user_328jSWws3tpRvzI7uKBOdRAbFz1</t>
  </si>
  <si>
    <t>gyongyi@ferrover.hu</t>
  </si>
  <si>
    <t>user_2o457Wqx8uZmyFp0Uvl1fWQrUzB</t>
  </si>
  <si>
    <t>tokey.noemi@gmail.com</t>
  </si>
  <si>
    <t>user_2xRu4bmwB2avuYtxzz00SnKF0az</t>
  </si>
  <si>
    <t>gellertne.eva@gmail.com</t>
  </si>
  <si>
    <t>user_2xSDx2sCAmP9rkRKw6gXa3gP59d</t>
  </si>
  <si>
    <t>gacsalbianka@gmail.com</t>
  </si>
  <si>
    <t>user_2mHw2FjmUY7H1Z4klXhpkHmfqh7</t>
  </si>
  <si>
    <t>xeniatoth04@gmail.com</t>
  </si>
  <si>
    <t>user_2tTfxHbtOrL2VgcLan6loH9cQdZ</t>
  </si>
  <si>
    <t>szelanna1985@gmail.com</t>
  </si>
  <si>
    <t>user_2xUqegGcDKqeBQK9m28ysnZ3vYX</t>
  </si>
  <si>
    <t>filip19890619@gmail.com</t>
  </si>
  <si>
    <t>user_32Drt6SWB1mG4bzBm3GYaLzXGMl</t>
  </si>
  <si>
    <t>ritina75@gmail.com</t>
  </si>
  <si>
    <t>user_2o52PRlUV1xw8NKkrSepn7fwrpj</t>
  </si>
  <si>
    <t>javorcsaba96@gmail.com</t>
  </si>
  <si>
    <t>user_32E8Gd1zbwxSFx6mzIcse6aj0SB</t>
  </si>
  <si>
    <t>figlerjudit@gmail.com</t>
  </si>
  <si>
    <t>user_2xVTQeFHQ4C17YiEBfh2Vv0ouFC</t>
  </si>
  <si>
    <t>totepuletgepeszeti.kft@gmail.com</t>
  </si>
  <si>
    <t>user_32EU66s6BIYmpaq6ZnGV6LE8cP2</t>
  </si>
  <si>
    <t>ujanos@gmail.com</t>
  </si>
  <si>
    <t>user_2o6mEh4qZxPNiYYXuoCMlWa35iZ</t>
  </si>
  <si>
    <t>csereinoemi@gmail.com</t>
  </si>
  <si>
    <t>user_2tWpqXY5WUncYWChYyAJTNE2LdO</t>
  </si>
  <si>
    <t>gomorig22@gmail.com</t>
  </si>
  <si>
    <t>user_2xXNxjpA7ixdQ1xTbqVlokWwuf9</t>
  </si>
  <si>
    <t>lefnorbi@gmail.com</t>
  </si>
  <si>
    <t>user_2xXZmULiG1cIB2JJdTEtFCSIRmL</t>
  </si>
  <si>
    <t>vikypinter1976@gmail.com</t>
  </si>
  <si>
    <t>user_2o7YLgdIaEgJdSdrKQbzsXAYjPo</t>
  </si>
  <si>
    <t>simonandsimonlaci@gmail.com</t>
  </si>
  <si>
    <t>user_2xY8gB14UutHlhM2fMNoWoxQ9x5</t>
  </si>
  <si>
    <t>kaszas.laszlo.napoli@gmail.com</t>
  </si>
  <si>
    <t>user_2xYJoefy9hPIHcG9zZPKxYaZvcW</t>
  </si>
  <si>
    <t>meszaroseva21@gmail.com</t>
  </si>
  <si>
    <t>user_2tb7Li6JeUZVeeyC66B4nEhKXND</t>
  </si>
  <si>
    <t>vegh.jenny@gmail.com</t>
  </si>
  <si>
    <t>user_2xZwMGnkXFH6VswDvSrx63v47q4</t>
  </si>
  <si>
    <t>andras.somogyi1@gmail.com</t>
  </si>
  <si>
    <t>user_2xa43H2xumfgDLZl8JzImVxmwSz</t>
  </si>
  <si>
    <t>illesszilvi13@gmail.com</t>
  </si>
  <si>
    <t>user_2tg72oiCkmjGYm42LaeGpMAzsFh</t>
  </si>
  <si>
    <t>frenk325@freemail.hu</t>
  </si>
  <si>
    <t>user_2mKWqemavoFJH4RAUXfPWSZoxK7</t>
  </si>
  <si>
    <t>zita.kaizer@gmail.com</t>
  </si>
  <si>
    <t>user_2xcqtE2Ml46jZ5MyC0Rdn7aXkfl</t>
  </si>
  <si>
    <t>eeeled@gmail.com</t>
  </si>
  <si>
    <t>user_2tkyEeSj2KXd6apJEmFBE6E7IVl</t>
  </si>
  <si>
    <t>eng.juhasz.miklos@gmail.com</t>
  </si>
  <si>
    <t>user_2tlWht1q0iBFm98TiJSIpoWZnZr</t>
  </si>
  <si>
    <t>gomoril.50@gmail.com</t>
  </si>
  <si>
    <t>user_2xdEZOtOmZwu73DY5VCRuuSu1G1</t>
  </si>
  <si>
    <t>szeky_l@yahoo.com</t>
  </si>
  <si>
    <t>user_2oA1iRlJPogIob35vJyxGeGjkff</t>
  </si>
  <si>
    <t>revesztimi@gmail.com</t>
  </si>
  <si>
    <t>user_32QhN7XFvWEr8f37QEWoz340EsU</t>
  </si>
  <si>
    <t>zdoman55v@gmail.com</t>
  </si>
  <si>
    <t>user_2xdx1F5n1SpXevEU79aRcNn5x0c</t>
  </si>
  <si>
    <t>kisbuko0923@gmail.com</t>
  </si>
  <si>
    <t>user_2oAP7QJsxT4XkoqtPcbCfnew520</t>
  </si>
  <si>
    <t>bebokmihaly@gmail.com</t>
  </si>
  <si>
    <t>e69fc6b7-f78c-469f-b8e9-027dba6c6e7f</t>
  </si>
  <si>
    <t>berta.peter@t-email.hu</t>
  </si>
  <si>
    <t>user_2oAZEnBctpJ60bFYy704wT4KwyP</t>
  </si>
  <si>
    <t>totyizoli@gmail.com</t>
  </si>
  <si>
    <t>user_32UNShLtDHHk6aDZruItiFQwk49</t>
  </si>
  <si>
    <t>bmakra@gmail.com</t>
  </si>
  <si>
    <t>user_2xg0SsfPTrgunbDoGJrR78k0Oca</t>
  </si>
  <si>
    <t>rafaelgyula@gmail.com</t>
  </si>
  <si>
    <t>user_2jonE6NMwSzTAweHHUHfcscoPgX</t>
  </si>
  <si>
    <t>zsolt.loboda@gipszlepcso.hu</t>
  </si>
  <si>
    <t>user_2oCXePRzFbErinMCU7zLXvTwU9V</t>
  </si>
  <si>
    <t>sargaangyalgyuri@gmail.com</t>
  </si>
  <si>
    <t>user_32Vc5YIWovRz4HMXtTXFpZopesb</t>
  </si>
  <si>
    <t>g1978s@gmail.com</t>
  </si>
  <si>
    <t>user_2trgPQwXVSYuoIvp3mR0eBaKRVV</t>
  </si>
  <si>
    <t>kostic.bojan@gmail.com</t>
  </si>
  <si>
    <t>user_32WRQWAEtfUqUinNCPX7tddb0aL</t>
  </si>
  <si>
    <t>vindics.vivien@gmail.com</t>
  </si>
  <si>
    <t>user_2lT0SNS5V14hwxZZLm36GQ6dUd5</t>
  </si>
  <si>
    <t>mjulia11@gmail.com</t>
  </si>
  <si>
    <t>user_32XZyhy6Ph9YppGqkQVNOzW1DZY</t>
  </si>
  <si>
    <t>epuletterv19@gmail.com</t>
  </si>
  <si>
    <t>user_32XaWwiV33QmgBnUwdsmxhF2qnl</t>
  </si>
  <si>
    <t>bandi971@gmail.com</t>
  </si>
  <si>
    <t>user_2k9ZKl6RcNf4y2BWSMF6tSt2DKW</t>
  </si>
  <si>
    <t>andras.sari@freemail.hu</t>
  </si>
  <si>
    <t>user_2xjv4P4X4gmrCM5YEe2Sa1TNG92</t>
  </si>
  <si>
    <t>nyiroauto@gmail.com</t>
  </si>
  <si>
    <t>user_2oFGX1j6Lm7XnAMOXBhJ46qlZLf</t>
  </si>
  <si>
    <t>reka.pankotai@gmail.com</t>
  </si>
  <si>
    <t>user_2xlDg1cNoz0yKLFccqQnE3FcJz3</t>
  </si>
  <si>
    <t>strahlpeter@gmail.com</t>
  </si>
  <si>
    <t>user_32ei7FUaZV3eroLeMt9V8BNftUm</t>
  </si>
  <si>
    <t>krisztian.csak@unimark.hu</t>
  </si>
  <si>
    <t>user_2tyKe1ouZ1p5k5FfhePnmfl2Njj</t>
  </si>
  <si>
    <t>kabdebonszabolcs@gmail.com</t>
  </si>
  <si>
    <t>user_2tyyObAU5RPy8BeBbHIkZEFCkOw</t>
  </si>
  <si>
    <t>vakay.vivien@gmail.com</t>
  </si>
  <si>
    <t>3127c364-0384-48c9-ae93-a638450cc75c</t>
  </si>
  <si>
    <t>danicska.bettina@gmail.com</t>
  </si>
  <si>
    <t>user_2tzQHYX3tmPiiX3B3rej7ynY19h</t>
  </si>
  <si>
    <t>dudiii389@gmail.com</t>
  </si>
  <si>
    <t>user_2xlylgP1Cn1GJLPyoYo2AaG4wcr</t>
  </si>
  <si>
    <t>szauter13@gmail.com</t>
  </si>
  <si>
    <t>user_2oHhPm6RdOyZR3Zy8Kuc3p3Yt3H</t>
  </si>
  <si>
    <t>kobak.ladislav@gmail.com</t>
  </si>
  <si>
    <t>user_2u2kH7WgrvTdM131a8sfclgKdOg</t>
  </si>
  <si>
    <t>gyetvaibence99@gmail.com</t>
  </si>
  <si>
    <t>user_32jtltvUbIAHx10etRwTT4LSkbA</t>
  </si>
  <si>
    <t>anikol69@freemail.hu</t>
  </si>
  <si>
    <t>user_2xoGCbMWEuaIvmewGmGB0HwmDah</t>
  </si>
  <si>
    <t>szilviakovacsnetoth@gmail.com</t>
  </si>
  <si>
    <t>user_2oIvKRuoDdiiRoCQU8gMDGdRlR8</t>
  </si>
  <si>
    <t>soedelucille@gmail.com</t>
  </si>
  <si>
    <t>user_32n6ugFtzOjc8KbzGn0icolnPKI</t>
  </si>
  <si>
    <t>pancsics.dorina@gmail.com</t>
  </si>
  <si>
    <t>user_2mQlY18elIL7XvLUDiN5NVWUUTp</t>
  </si>
  <si>
    <t>helenyi.emil@gmail.com</t>
  </si>
  <si>
    <t>user_2u7m5CstkJbg6pDjVBJddZqXYxG</t>
  </si>
  <si>
    <t>robert.kisari@gmail.com</t>
  </si>
  <si>
    <t>user_2xqaAW13k7YO6JUOEBj0jebSEwh</t>
  </si>
  <si>
    <t>puskamail8@gmail.com</t>
  </si>
  <si>
    <t>user_2oLpB2UclLzeF29ZsMabqk0dWbg</t>
  </si>
  <si>
    <t>diattacsontos.agnes@gmail.com</t>
  </si>
  <si>
    <t>b89d1c1b-7a59-4b52-bf56-cb27a85663f4</t>
  </si>
  <si>
    <t>meszaroscsanad13@gmail.com</t>
  </si>
  <si>
    <t>user_2oMKaRL0YKzt9YljYoiffj2Swlt</t>
  </si>
  <si>
    <t>kisschief@gmail.com</t>
  </si>
  <si>
    <t>user_2uA5A2GXw8NLJw25pOR71jcT7vT</t>
  </si>
  <si>
    <t>geldelandi@gmail.com</t>
  </si>
  <si>
    <t>user_32t3bHwMYp22CEV1Qc8dEmlTr5P</t>
  </si>
  <si>
    <t>illataradat@gmail.com</t>
  </si>
  <si>
    <t>user_2mRRRv91bbX0lSyqApsHWyWx2Pq</t>
  </si>
  <si>
    <t>nagyzsoffi95@gmail.com</t>
  </si>
  <si>
    <t>user_2xuPVxx2IGiZt70D98MzFXqKCWi</t>
  </si>
  <si>
    <t>linabitter@gmail.com</t>
  </si>
  <si>
    <t>user_32xAq9IRR11KdzAehf2Cztnl7Ui</t>
  </si>
  <si>
    <t>fesustibor1969@gmail.com</t>
  </si>
  <si>
    <t>user_2lV4rcwGhgnecYs80eFLDkIt44W</t>
  </si>
  <si>
    <t>dusiendre@gmail.com</t>
  </si>
  <si>
    <t>user_32z1R87qmZEnqG6gRMuhCY1352o</t>
  </si>
  <si>
    <t>a.tundi@outlook.com</t>
  </si>
  <si>
    <t>user_2uDVdlrpN39PWKrY7hZj2neCCP6</t>
  </si>
  <si>
    <t>turitimea19940530@gmail.com</t>
  </si>
  <si>
    <t>user_330W33OllrbXd8dBcrttpiMNnxz</t>
  </si>
  <si>
    <t>gilszki.e19@gmail.com</t>
  </si>
  <si>
    <t>user_330mCohW2moXVWe8p6WWTaxoFCv</t>
  </si>
  <si>
    <t>elias.roland1996@gmail.com</t>
  </si>
  <si>
    <t>user_2uEYCUOKh4DRTcildDD4lawkyhi</t>
  </si>
  <si>
    <t>anonimusz1988@gmail.com</t>
  </si>
  <si>
    <t>user_2oOtQcr5Ts93R3KwwqGiO5Ryu86</t>
  </si>
  <si>
    <t>k.koos85@gmail.com</t>
  </si>
  <si>
    <t>user_2lVFcEMvMbEKcktMoF7ntjJLpVi</t>
  </si>
  <si>
    <t>margitaiattila@eqnet.hu</t>
  </si>
  <si>
    <t>user_2mTZre9HVy7jQjJowOVtYlMPUNU</t>
  </si>
  <si>
    <t>tomas.feherovic@azet.sk</t>
  </si>
  <si>
    <t>user_2uIv6oSxr5KKvcqvJSZntYFNyTx</t>
  </si>
  <si>
    <t>baranyitamara96@gmail.com</t>
  </si>
  <si>
    <t>user_2uJaY2Ey7dgt9JAc66Lin9BMp2q</t>
  </si>
  <si>
    <t>eszter.dobai76@gmail.com</t>
  </si>
  <si>
    <t>user_2oQj4Bb1nkwiGbEbhhVgL1sDe9F</t>
  </si>
  <si>
    <t>lukacs.dora12@gmail.com</t>
  </si>
  <si>
    <t>user_336KLy2J4ykPD7jzX12Aof10WNt</t>
  </si>
  <si>
    <t>seresoliver1@gmail.com</t>
  </si>
  <si>
    <t>user_2kWUl8GKZAiXSDfgNC5rxEt8TL1</t>
  </si>
  <si>
    <t>balazsszalairenata@gmail.com</t>
  </si>
  <si>
    <t>user_2uMNb76qNyewLSO3aopGJBmxN9n</t>
  </si>
  <si>
    <t>sheftcsenko@gmail.com</t>
  </si>
  <si>
    <t>user_2uMOLrRJZAh7enxHPiUCY5Nonfy</t>
  </si>
  <si>
    <t>ildi.attila7@gmail.com</t>
  </si>
  <si>
    <t>user_2uMhLHzthEtUfcBwhUEMGU0MUK4</t>
  </si>
  <si>
    <t>lovaszit@gmail.com</t>
  </si>
  <si>
    <t>user_2oRAb41WriOSm9Ub43kSBaYvzNe</t>
  </si>
  <si>
    <t>nagy.buddy@gmail.com</t>
  </si>
  <si>
    <t>user_2mV4235CqERSu6OFAvucA7BRcQp</t>
  </si>
  <si>
    <t>szandyka88@gmail.com</t>
  </si>
  <si>
    <t>user_339U3M4ADhW0sHOGlknwNN5RSTI</t>
  </si>
  <si>
    <t>szalontai.valentin@gmail.com</t>
  </si>
  <si>
    <t>user_2y3dSIxrLARUd6nz53nLKAnyM0I</t>
  </si>
  <si>
    <t>bodolainikolett@gmail.com</t>
  </si>
  <si>
    <t>user_2y4tPQKynZJqleCEttgHaprd3sc</t>
  </si>
  <si>
    <t>kiskadigabor@gmail.com</t>
  </si>
  <si>
    <t>user_2y5uuhbV8lKU9qJqSHzozmHNhx2</t>
  </si>
  <si>
    <t>mitoraj.laszlo@gmail.com</t>
  </si>
  <si>
    <t>user_2uTlNaZpklxodsKGkFEdZEAyz7I</t>
  </si>
  <si>
    <t>bogdmo@gmail.com</t>
  </si>
  <si>
    <t>user_2oTLGnOYwgkhm2qc5OwyCYZztAG</t>
  </si>
  <si>
    <t>fabiananiko22@gmail.com</t>
  </si>
  <si>
    <t>user_2y6fNQsdWXoYld2juuyYK7gce9e</t>
  </si>
  <si>
    <t>ildikopacsai@gmail.com</t>
  </si>
  <si>
    <t>user_2lVWBWZ7ELSrZKZ8JXga0AkjWGO</t>
  </si>
  <si>
    <t>ratonyid01@protonmail.com</t>
  </si>
  <si>
    <t>user_2oTSqdJKtY8kTlwQId4uYJN200A</t>
  </si>
  <si>
    <t>apostol.veronika@gmail.com</t>
  </si>
  <si>
    <t>user_33E9VSsdWRtJe69YLKbGz2XYdKp</t>
  </si>
  <si>
    <t>vasmester2003@gmail.com</t>
  </si>
  <si>
    <t>user_2uUrYhyTxI5uC2OAEsAYUD0XbLs</t>
  </si>
  <si>
    <t>baine@freemail.hu</t>
  </si>
  <si>
    <t>user_2mVljmCZoQF8fE78Zs0Fe96dKuJ</t>
  </si>
  <si>
    <t>mogyorosi.peter88@gmail.com</t>
  </si>
  <si>
    <t>user_2uV53DyTbiW3BBkUBb4hAWb13x5</t>
  </si>
  <si>
    <t>dericarbeata@gmail.com</t>
  </si>
  <si>
    <t>user_2oUPo8G9SQwadlocRAopL3Czu5i</t>
  </si>
  <si>
    <t>tradnai@yahoo.com</t>
  </si>
  <si>
    <t>user_2y9aIrRCchBSuzwH82ww0vdWOXP</t>
  </si>
  <si>
    <t>k@kri.hu</t>
  </si>
  <si>
    <t>user_2oVUmURGcUcdl7JKm24XVM4sxhr</t>
  </si>
  <si>
    <t>demeterferi55@gmail.com</t>
  </si>
  <si>
    <t>user_33MRApkSavDik6z3vuCqxBbbmCr</t>
  </si>
  <si>
    <t>vanka.csaba@gmail.com</t>
  </si>
  <si>
    <t>user_2uY3K8gBSzaTuN5NLY3fyevblA9</t>
  </si>
  <si>
    <t>gymiki@gmail.com</t>
  </si>
  <si>
    <t>user_2uY5aHiCtaJ4bqs6tNyGrXWTyns</t>
  </si>
  <si>
    <t>balazscf@gmail.com</t>
  </si>
  <si>
    <t>user_2oWJXGQPbdzfyPBTw6q8Sfrac8U</t>
  </si>
  <si>
    <t>larianna.lm@gmail.com</t>
  </si>
  <si>
    <t>user_2kYBuD7wreHYTOev7k0YHhYZStZ</t>
  </si>
  <si>
    <t>sadryka10@gmail.com</t>
  </si>
  <si>
    <t>user_2lVlT4tLRH9gmZz25VUbUl9wwq1</t>
  </si>
  <si>
    <t>norphforever@gmail.com</t>
  </si>
  <si>
    <t>user_2yETMU8wuT29zdlws4MO7PUUGXM</t>
  </si>
  <si>
    <t>zsemjan@live.com</t>
  </si>
  <si>
    <t>user_2oX0t1F9RUrQgrOJHWgnhG54Wlz</t>
  </si>
  <si>
    <t>mkrisztian1808@gmail.com</t>
  </si>
  <si>
    <t>user_2kYhN5oFJ2TXpWpetSEQCIWxRFM</t>
  </si>
  <si>
    <t>straub.v.tamas@gmail.com</t>
  </si>
  <si>
    <t>user_2oXQqhrcL81b5vTY9KZhVrvklEZ</t>
  </si>
  <si>
    <t>kolonits80@gmail.com</t>
  </si>
  <si>
    <t>user_2uarig0aBsnFSPH9etbr3TPSYaP</t>
  </si>
  <si>
    <t>ben@taelite.com</t>
  </si>
  <si>
    <t>user_2oYbytSYAxAno3LQnK9Fx8BhtEA</t>
  </si>
  <si>
    <t>fortunaedina22@gmail.com</t>
  </si>
  <si>
    <t>user_2kdRXivMZzvBwNICdmmMZeWj6rn</t>
  </si>
  <si>
    <t>szamportomi@gmail.com</t>
  </si>
  <si>
    <t>user_2oYsDVqJNuoVwcq7EV11h2VcdPZ</t>
  </si>
  <si>
    <t>boroshanna97@gmail.com</t>
  </si>
  <si>
    <t>user_2oZ4XmbQWlToeb1CGr9nfM475Tk</t>
  </si>
  <si>
    <t>polanska.ludmila@gmail.com</t>
  </si>
  <si>
    <t>user_2keWeTp2cfD5s6Q7vQ6bQJtQmUF</t>
  </si>
  <si>
    <t>csokenandi@gmail.com</t>
  </si>
  <si>
    <t>user_2oZRvsl2RCwwcg1QZ7g3gbBTXCT</t>
  </si>
  <si>
    <t>rakszabi@gmail.com</t>
  </si>
  <si>
    <t>user_33VWmlZLm4cE81m0BjmxK3ziGyz</t>
  </si>
  <si>
    <t>agrilaci85@gmail.com</t>
  </si>
  <si>
    <t>user_2mYRILkw1K23mcvkpWXdwD6C6Gr</t>
  </si>
  <si>
    <t>veresimola1@gmail.com</t>
  </si>
  <si>
    <t>user_2yJLmMXlGEe5hSQzzwknYYvmFEA</t>
  </si>
  <si>
    <t>konczedera@yahoo.com</t>
  </si>
  <si>
    <t>user_2yJR9p3H2e16TKcbqHU2RPyRiPu</t>
  </si>
  <si>
    <t>balitam@gmail.com</t>
  </si>
  <si>
    <t>user_2ugEUZsKNwwj3jJvfS2elqmIbUo</t>
  </si>
  <si>
    <t>nagy.miklos78@gmail.com</t>
  </si>
  <si>
    <t>user_33da0A2mjvGfIAP1svLgm042AMc</t>
  </si>
  <si>
    <t>eotvoskavezo@gmail.com</t>
  </si>
  <si>
    <t>user_2yM86aZksQsgJTpYmHtQ0iz5ete</t>
  </si>
  <si>
    <t>csababede@gmail.com</t>
  </si>
  <si>
    <t>user_2uggmJRq1Fbi6EOFZXGuy0NvL4q</t>
  </si>
  <si>
    <t>rajkmiklos@gmail.com</t>
  </si>
  <si>
    <t>user_2mYyPslwnGqfTw4X5fFfqaMIu0Q</t>
  </si>
  <si>
    <t>karoly@mezosi.hu</t>
  </si>
  <si>
    <t>user_2mZA8Gzgv523YkhFY1ZyeFFMqw2</t>
  </si>
  <si>
    <t>wonderzoltan@gmail.com</t>
  </si>
  <si>
    <t>user_2yObo8hpU9mRFeoFOlxmUJ4pEaH</t>
  </si>
  <si>
    <t>ekupor@gmail.com</t>
  </si>
  <si>
    <t>user_2ujO8BzAZB98wiouB526gEswrdb</t>
  </si>
  <si>
    <t>doresz.csernok@hotmail.com</t>
  </si>
  <si>
    <t>user_2ujpdCmVGK7xm9oLC25gjI15kB8</t>
  </si>
  <si>
    <t>vereb.roland6@gmail.com</t>
  </si>
  <si>
    <t>user_2ofpompyjDJTgwbT4zE9YaT1lG8</t>
  </si>
  <si>
    <t>nemeth.judit89@gmail.hu</t>
  </si>
  <si>
    <t>user_2ogF9zcdiasesxRQwLJzSoFFkvv</t>
  </si>
  <si>
    <t>mussti@live.com</t>
  </si>
  <si>
    <t>user_2kh8YOp87Y6ZJPAWlBp0IIBmdxk</t>
  </si>
  <si>
    <t>d.janospalne@gmail.com</t>
  </si>
  <si>
    <t>user_2uoTK8wW2H7pPSl47rBioKX6CTS</t>
  </si>
  <si>
    <t>nagyakosistvan@gmail.com</t>
  </si>
  <si>
    <t>user_2ur94U8Ca93Z7stXoLnS6vlF9D6</t>
  </si>
  <si>
    <t>toldiszilvi70@gmail.com</t>
  </si>
  <si>
    <t>user_2lY6PSEUviPfqAMIs7kJCGwLRv7</t>
  </si>
  <si>
    <t>kovacsne.marika@gmail.com</t>
  </si>
  <si>
    <t>user_2mcCOfqwlAzQDlrb8hsTuv8KCx4</t>
  </si>
  <si>
    <t>bijap92@gmail.com</t>
  </si>
  <si>
    <t>user_2okACxJhZGUJFmRzGtvmzsIpK6E</t>
  </si>
  <si>
    <t>matyasa79@gmail.com</t>
  </si>
  <si>
    <t>user_340crWsFK6S4HuhYCwspCspOv93</t>
  </si>
  <si>
    <t>huszarmici@gmail.com</t>
  </si>
  <si>
    <t>user_340w3NOTWvFlC3rfNQEt77rFY0z</t>
  </si>
  <si>
    <t>hencs2.vh@gmail.com</t>
  </si>
  <si>
    <t>user_2mchJFD3rnwnGFiymda7ovLBYJ7</t>
  </si>
  <si>
    <t>deni@educomm.hu</t>
  </si>
  <si>
    <t>user_2yZoQf8U2fWVmW7eCe01Xtnkq8g</t>
  </si>
  <si>
    <t>juliannabuda@gmail.com</t>
  </si>
  <si>
    <t>user_343uETOmmm0HkOfPrKCOuf5BbI8</t>
  </si>
  <si>
    <t>spam@jeney.hu</t>
  </si>
  <si>
    <t>user_344DACBQgBKlU5Fvyl5IQIASazI</t>
  </si>
  <si>
    <t>annamariakepes@gmail.com</t>
  </si>
  <si>
    <t>user_2lYVl7mlwWPPaTFbR2fhWk0h5Ba</t>
  </si>
  <si>
    <t>orierika.marton@gmail.com</t>
  </si>
  <si>
    <t>user_2uzg7ogkslIM16xyHjIQjxjuHAg</t>
  </si>
  <si>
    <t>kali.szabolcs@gmail.com</t>
  </si>
  <si>
    <t>user_347RP6kq19msXIu3NzzmEIedQPZ</t>
  </si>
  <si>
    <t>zippen39@gmail.com</t>
  </si>
  <si>
    <t>user_2opoReJIUCvnaFORKHYYE2Btyr6</t>
  </si>
  <si>
    <t>garaczi.vivien@gmail.com</t>
  </si>
  <si>
    <t>user_34CLrQ04cXQGjrMW7sbQaRaVBYY</t>
  </si>
  <si>
    <t>era781206@gmail.com</t>
  </si>
  <si>
    <t>user_2kkVsaWfyCDl9NELUHaedQznvo3</t>
  </si>
  <si>
    <t>vamtechkft@gmail.com</t>
  </si>
  <si>
    <t>user_34ENmPGUCiMJ3IgiwmD7pdUFlLY</t>
  </si>
  <si>
    <t>kakucskinga3@gmail.com</t>
  </si>
  <si>
    <t>user_34HhF2xLycVfwvpaQnc5SBZIdn3</t>
  </si>
  <si>
    <t>kovacs.gab@gmail.com</t>
  </si>
  <si>
    <t>user_2v38t0MPAaMO1VoGMDDz7LlUYZP</t>
  </si>
  <si>
    <t>michael.arva@gmail.com</t>
  </si>
  <si>
    <t>user_2v4DGLJQkhlxJb2pyTMDgfWjhCX</t>
  </si>
  <si>
    <t>julius.bartalos@friservice.sk</t>
  </si>
  <si>
    <t>user_2v4XciOqGV8ATmtXyXtSAhZaP60</t>
  </si>
  <si>
    <t>naruto0608@gmail.com</t>
  </si>
  <si>
    <t>user_2mh89R5B8VZdZj234uoD58U718R</t>
  </si>
  <si>
    <t>nagy.kata8202@gmail.com</t>
  </si>
  <si>
    <t>user_2mhFx93VoovrGrBJ7LcoLNljSRL</t>
  </si>
  <si>
    <t>tamas.dudas.hun@gmail.com</t>
  </si>
  <si>
    <t>user_34Mel0Y4KH2Vwbcp0WzVrwvExQl</t>
  </si>
  <si>
    <t>z.parti1@gmail.com</t>
  </si>
  <si>
    <t>user_2v7OBjN0oVsYPqyQmx2NSb2Sdl3</t>
  </si>
  <si>
    <t>f.szabo.ildiko@gmail.com</t>
  </si>
  <si>
    <t>user_2mhR2IzF5Eg55LNK0qMJ3a9AqUu</t>
  </si>
  <si>
    <t>feherati971@gmail.com</t>
  </si>
  <si>
    <t>user_2yiqIPR4eAGvEfCp8FAArNZYPMs</t>
  </si>
  <si>
    <t>czollerbence1@gmail.com</t>
  </si>
  <si>
    <t>user_2v7sR11tpOljd4PWpz1pbKuWN0Z</t>
  </si>
  <si>
    <t>juhasznekarajosmonika@gmail.com</t>
  </si>
  <si>
    <t>user_2v7uJLwdXtpyg9jf0usla7NgQRr</t>
  </si>
  <si>
    <t>lanczendorferemoke@gmail.com</t>
  </si>
  <si>
    <t>user_2v82pmzw0VYbHnbbkpXfr3UtlWQ</t>
  </si>
  <si>
    <t>barna.alexandra.panka@gmail.com</t>
  </si>
  <si>
    <t>user_34NeDAFM37OudUkPaPZGsn7F5SS</t>
  </si>
  <si>
    <t>xunilo@gmail.com</t>
  </si>
  <si>
    <t>user_2yjWTljmSZOBsZKyKj6Je0rUzW2</t>
  </si>
  <si>
    <t>koosrenata2018@gmail.com</t>
  </si>
  <si>
    <t>user_2lZEuK1pOo2lP5z4PKXL26IxKl4</t>
  </si>
  <si>
    <t>mmmarta3@freemail.hu</t>
  </si>
  <si>
    <t>user_2mi2OJV4lT1ZjiJ1I7yhgwetEJ1</t>
  </si>
  <si>
    <t>barath.ildiko100@gmail.com</t>
  </si>
  <si>
    <t>user_2lZVehY1MfkS4hEIt5cnzfxzy4Q</t>
  </si>
  <si>
    <t>rolflobenkft@gmail.com</t>
  </si>
  <si>
    <t>user_2ym0iTAKPsByuUeo8T0ZPRVbTu6</t>
  </si>
  <si>
    <t>vmaria65@gmail.com</t>
  </si>
  <si>
    <t>user_2p1T3866MLHXMLodqgAG6JNGQEF</t>
  </si>
  <si>
    <t>sosocsi2004@gmail.com</t>
  </si>
  <si>
    <t>user_2yny6aGuDuJdwS7kqzC90WRgnus</t>
  </si>
  <si>
    <t>abrahamnori@gmail.com</t>
  </si>
  <si>
    <t>user_2p1itGmUopROXAQPfnzcIU20160</t>
  </si>
  <si>
    <t>borzoneszter@gmail.com</t>
  </si>
  <si>
    <t>user_2p29rNqeVlP4OIGmXSfAdV4Y3uP</t>
  </si>
  <si>
    <t>szucserika72@gmail.com</t>
  </si>
  <si>
    <t>user_2knPPJVVtRDdcvjZaq9WLMoSdXT</t>
  </si>
  <si>
    <t>timilaca56@gmail.com</t>
  </si>
  <si>
    <t>user_2p3rOvxfE8TxgtJMFdKScoVucXX</t>
  </si>
  <si>
    <t>seres.tamas80@gmail.com</t>
  </si>
  <si>
    <t>user_2vDVtRuoq4qMFnfKbZu8ywwjzjF</t>
  </si>
  <si>
    <t>ince.tamas@gmail.com</t>
  </si>
  <si>
    <t>user_2vDzWMvNx54OmWRCv6OXceR0NDy</t>
  </si>
  <si>
    <t>kersakbalazs85@gmail.com</t>
  </si>
  <si>
    <t>user_2vE3yIDZNYiaMKxerILFSBDTN55</t>
  </si>
  <si>
    <t>debreyfruzsina@gmail.com</t>
  </si>
  <si>
    <t>user_2yrSKcrk0nG5UNyqFZ7uIMjNHcU</t>
  </si>
  <si>
    <t>robilaci@gmail.com</t>
  </si>
  <si>
    <t>user_34T3cdZmvLEc6I0eZEoI7C1FeMR</t>
  </si>
  <si>
    <t>laszlo.mikita@gmail.com</t>
  </si>
  <si>
    <t>user_34TDo8Z8bYYaQxUCUukD6dsTJXa</t>
  </si>
  <si>
    <t>eva.cs.budai@gmail.com</t>
  </si>
  <si>
    <t>user_34TMDHceSA5Am6mg5zAeAIntuyB</t>
  </si>
  <si>
    <t>visztferenc@gmail.com</t>
  </si>
  <si>
    <t>user_2p7a6jJxUwcC2tgGcE9ZF43uUJ9</t>
  </si>
  <si>
    <t>csakrajoga1@gmail.com</t>
  </si>
  <si>
    <t>user_34Vdk2szWIna4mGxi9dNEA2gnfH</t>
  </si>
  <si>
    <t>nora.debreceni12@gmail.com</t>
  </si>
  <si>
    <t>user_2p80xEx5KbdbQNkmrSwmH0hNSKB</t>
  </si>
  <si>
    <t>csmarcell96@gmail.com</t>
  </si>
  <si>
    <t>user_2le3pWEgkeIdnKFEKdTjXwmPyNF</t>
  </si>
  <si>
    <t>ildikozatonyi75@gmail.com</t>
  </si>
  <si>
    <t>user_2yuRlSw01KSsh3yxuBJ7okDDU0A</t>
  </si>
  <si>
    <t>gundingerbea@gmail.com</t>
  </si>
  <si>
    <t>user_2vHDT4q5jwiNQ3g4jaaOl9Dl1LK</t>
  </si>
  <si>
    <t>bartokcsilla0518@gmail.com</t>
  </si>
  <si>
    <t>user_34Y01aRNOZ3ZW5WW0XSiliW9WxM</t>
  </si>
  <si>
    <t>peter.heicz@syngenta.com</t>
  </si>
  <si>
    <t>user_2mlE8D5wkpXOUO6FlriijHxCtr8</t>
  </si>
  <si>
    <t>srebi001@gmail.com</t>
  </si>
  <si>
    <t>user_2p9vx6zBbVZVVnv3amV0rptkPJm</t>
  </si>
  <si>
    <t>hujberrudolf@gmail.com</t>
  </si>
  <si>
    <t>user_34aqvWcSETgZLbwxspzZJuBidcJ</t>
  </si>
  <si>
    <t>tomi2001k@gmail.com</t>
  </si>
  <si>
    <t>user_2mlYpqfzmpp9WASG1I0xojQbnFw</t>
  </si>
  <si>
    <t>nagybogo19@gmail.com</t>
  </si>
  <si>
    <t>user_2vJJPsqgpPe4dXK9nNS6d6kByVO</t>
  </si>
  <si>
    <t>szaboakos91@gmail.com</t>
  </si>
  <si>
    <t>user_2vJqPJmc7yDYOobdQQYQQwFeWHB</t>
  </si>
  <si>
    <t>lacko197207@gmail.com</t>
  </si>
  <si>
    <t>user_2yx8SIBBb3RMPPTmVPV6QBbVRrQ</t>
  </si>
  <si>
    <t>maksaalexandra@gmail.com</t>
  </si>
  <si>
    <t>user_2vLNM83I8MMQxKs5wbUOU0kTrN2</t>
  </si>
  <si>
    <t>tyborpopp@gmail.com</t>
  </si>
  <si>
    <t>user_2yzTQdBHQzP4VdmrbjPykqpKwt8</t>
  </si>
  <si>
    <t>telessy.gergely@gmail.com</t>
  </si>
  <si>
    <t>user_2vLkFM0KMPB1Yl0jyv679t2jcvf</t>
  </si>
  <si>
    <t>baltamilan99@gmail.com</t>
  </si>
  <si>
    <t>user_2vLmxeglIy3CuBE4XBrenNGSSfg</t>
  </si>
  <si>
    <t>szilvia.gardosi@gmail.com</t>
  </si>
  <si>
    <t>user_2kruDmb9VZfZOdKBqlGa75Fp0Ro</t>
  </si>
  <si>
    <t>jbindus60@gmail.com</t>
  </si>
  <si>
    <t>user_2mnKrnkFfpwqrA4d74gBSO24AeM</t>
  </si>
  <si>
    <t>laszloszemes@yahoo.com</t>
  </si>
  <si>
    <t>user_2vMX8s0JuSaldm8OBdSGWVzMJUH</t>
  </si>
  <si>
    <t>justincaseeeee@gmail.com</t>
  </si>
  <si>
    <t>user_2vMwXbzGvWEL3BsIgIGE4G6fRtZ</t>
  </si>
  <si>
    <t>sarusine.tunde@gmail.com</t>
  </si>
  <si>
    <t>user_2pGwTP6l0pZmOtfLmx9YDTAXNVh</t>
  </si>
  <si>
    <t>doknjas.mihael@gmail.com</t>
  </si>
  <si>
    <t>user_2pHxVtVgcHQ4JXj0SkW2dfPPlaJ</t>
  </si>
  <si>
    <t>edina.gyoreine@gmail.com</t>
  </si>
  <si>
    <t>user_34xQAMrcK7Zv8YVMdpFVb1AWWnN</t>
  </si>
  <si>
    <t>verraszto@yahoo.com</t>
  </si>
  <si>
    <t>user_34yDFRXcf804Yjec1UohQ7M0JYO</t>
  </si>
  <si>
    <t>komaromi11@gmail.com</t>
  </si>
  <si>
    <t>user_2pKYZKJJ5amCOtdxLXuQRv8eZfc</t>
  </si>
  <si>
    <t>kovacsgabor88@gmail.com</t>
  </si>
  <si>
    <t>user_3519flvtBn159kolGTuI9y20YsU</t>
  </si>
  <si>
    <t>tiarastraubinger@gmail.com</t>
  </si>
  <si>
    <t>user_2pKs7ngOTHryJb7AVjjr0mqCyEP</t>
  </si>
  <si>
    <t>davidnyaradi21@gmail.com</t>
  </si>
  <si>
    <t>user_2pL29kLQV90MSOgyhqvXv7ZRtX8</t>
  </si>
  <si>
    <t>martonhenriett2002@gmail.com</t>
  </si>
  <si>
    <t>user_356PvkRwG00alnGkNfreMB179I2</t>
  </si>
  <si>
    <t>agressor994@gmail.com</t>
  </si>
  <si>
    <t>user_2li1kAi3tjpXbJZLcSGqbaR88uo</t>
  </si>
  <si>
    <t>k.bobesz97@gmail.com</t>
  </si>
  <si>
    <t>user_2mptGFJGq6GAO7FV1LOLTlF5LaU</t>
  </si>
  <si>
    <t>zsedelytamas@freemail.hu</t>
  </si>
  <si>
    <t>user_2pQbmlT2A8yz1xtpX5ITTRJLyqz</t>
  </si>
  <si>
    <t>beatabindea@gmail.com</t>
  </si>
  <si>
    <t>user_2vR4TpbFgM0aDR7lLqzGYZFMj3r</t>
  </si>
  <si>
    <t>editgulacsi3@gmail.com</t>
  </si>
  <si>
    <t>user_359dg3A4qTdsPvjvKrKYZAWlEfR</t>
  </si>
  <si>
    <t>ivankrisztian@gmail.com</t>
  </si>
  <si>
    <t>user_2pRBW9mAKziJ3JvL6Fhh0isUYua</t>
  </si>
  <si>
    <t>norbibakonyi@gmail.com</t>
  </si>
  <si>
    <t>user_2pRUlMERaaMKBrb1nSjVZFiDYTY</t>
  </si>
  <si>
    <t>csonka.karoly@gmail.com</t>
  </si>
  <si>
    <t>user_2vSD9IthsZPL6yZm1z6rkNF6Kgy</t>
  </si>
  <si>
    <t>norbi2513@gmail.com</t>
  </si>
  <si>
    <t>user_2zDliHiMO2AOtllu8qcBNz3wgM0</t>
  </si>
  <si>
    <t>fehajni@gmail.com</t>
  </si>
  <si>
    <t>user_35I7MfIw5Pu6UrdYkvMwxEl4r2G</t>
  </si>
  <si>
    <t>koxy024@gmail.com</t>
  </si>
  <si>
    <t>user_2vSgJ5RTFQPYBKWcQ5xPx8nMjFS</t>
  </si>
  <si>
    <t>anagymate@gmail.com</t>
  </si>
  <si>
    <t>user_2wxfYsY75T9E30TUqYisV5TlQGY</t>
  </si>
  <si>
    <t>robert.bekesi@freemail.hu</t>
  </si>
  <si>
    <t>user_2nnDlPMReNWJLISj0HkE0GEP0ZA</t>
  </si>
  <si>
    <t>drcsikyotto@gmail.com</t>
  </si>
  <si>
    <t>user_308EaEhXgjCC2zU6wbmrrPP11oO</t>
  </si>
  <si>
    <t>kingakoczka@gmail.com</t>
  </si>
  <si>
    <t>user_2v5HTO7hqPJvThxo52XaDd1FvFN</t>
  </si>
  <si>
    <t>andras.varsanyi@gmail.com</t>
  </si>
  <si>
    <t>user_306Spmeue96klgqejD0pYIbBCHZ</t>
  </si>
  <si>
    <t>laszlo.2.szabo@bt.com</t>
  </si>
  <si>
    <t>user_2lHeKhYZEyuEyCrCLGvKU34Ry15</t>
  </si>
  <si>
    <t>kertesz.agi81@gmail.com</t>
  </si>
  <si>
    <t>user_2ygoSsHXKSTdNyR0nEdmZFy4h68</t>
  </si>
  <si>
    <t>robert.kerezsi@gmail.com</t>
  </si>
  <si>
    <t>user_31PlxAkVOOO9jP4arqVtLZ1xIaH</t>
  </si>
  <si>
    <t>antalmiki.mail@gmail.com</t>
  </si>
  <si>
    <t>user_2wz1pGVjdh3lIGnGY3h4YIi6wH5</t>
  </si>
  <si>
    <t>zoltan.salkovics@gmail.com</t>
  </si>
  <si>
    <t>user_34KzPTZMgsEx9MOYP2KhusKRvMX</t>
  </si>
  <si>
    <t>fekdavid@gmail.com</t>
  </si>
  <si>
    <t>user_2sDCkmexnh8JjTYdUgmW3gqgYkc</t>
  </si>
  <si>
    <t>barakonyi.noemi@gmail.com</t>
  </si>
  <si>
    <t>user_2wETlQclwZG5wOorKMpaSRwaAdi</t>
  </si>
  <si>
    <t>aleistvan977@gmail.com</t>
  </si>
  <si>
    <t>user_2no7uTuMvvIq4lIkS7Dr0cgXMlc</t>
  </si>
  <si>
    <t>tamas.ludikar@gmail.com</t>
  </si>
  <si>
    <t>user_2qtrkC5LUFS7lbgncmhrXoysYkm</t>
  </si>
  <si>
    <t>molnarne.n.veronika@gmail.com</t>
  </si>
  <si>
    <t>user_306Abjn4Jq4SjgtsflQ9hbZttP6</t>
  </si>
  <si>
    <t>laszlojantek@gmail.com</t>
  </si>
  <si>
    <t>user_2l9gv9gTBBfv1JWGGL0Gtn7QxAD</t>
  </si>
  <si>
    <t>tatarmester@gmail.com</t>
  </si>
  <si>
    <t>user_2wEICjSo5OiegfLI0ZN7nkXUtUx</t>
  </si>
  <si>
    <t>davida.robert@gmail.com</t>
  </si>
  <si>
    <t>user_31QRWJUqlMnqUxaevnbuRhHOA20</t>
  </si>
  <si>
    <t>lakicsnenkrisztina@gmail.com</t>
  </si>
  <si>
    <t>user_31QTpRJLoDUlKhf73G2N50KreLO</t>
  </si>
  <si>
    <t>fedorzsofi@gmail.com</t>
  </si>
  <si>
    <t>user_31QgBW6ixbho4EdCeO5mqVEgYE7</t>
  </si>
  <si>
    <t>dominika@mdehs.com</t>
  </si>
  <si>
    <t>user_2wDsYYuFKNu4ig4e56Q4ldwr82n</t>
  </si>
  <si>
    <t>nyisz1975@gmail.com</t>
  </si>
  <si>
    <t>user_2sG311hXEGusT8l823bTuEBrDQw</t>
  </si>
  <si>
    <t>kontamas95@gmail.com</t>
  </si>
  <si>
    <t>user_31RrRtFys4G9sL39n65VFXxsqKp</t>
  </si>
  <si>
    <t>huszar.ors@gmail.com</t>
  </si>
  <si>
    <t>user_2sGM9Na1t1x3Gcx2L3eUkrp6Les</t>
  </si>
  <si>
    <t>eagleppg@gmail.com</t>
  </si>
  <si>
    <t>user_2noKP0CUOGhUtQ9KK2qVubjIjMd</t>
  </si>
  <si>
    <t>ktooom@freemail.hu</t>
  </si>
  <si>
    <t>3f08ac6a-3790-4d18-8160-2154408e436f</t>
  </si>
  <si>
    <t>szalaiandras1@gmail.com</t>
  </si>
  <si>
    <t>user_2wDCcMLFbK33QbWWZlgG2CS7h6R</t>
  </si>
  <si>
    <t>bazsiakem@gmail.com</t>
  </si>
  <si>
    <t>5ccdc912-dd5f-4a44-9ec6-a511bfa1f6bc</t>
  </si>
  <si>
    <t>marcell12011201@gmail.com</t>
  </si>
  <si>
    <t>user_2wzVsHYPK267MZxt4yhzc2mFTwD</t>
  </si>
  <si>
    <t>vorosbalazs0714@gmail.com</t>
  </si>
  <si>
    <t>user_2sGvLmhTTlMFTUSte36a951lntp</t>
  </si>
  <si>
    <t>csipesandor@gmail.com</t>
  </si>
  <si>
    <t>user_2wDCY6w7N5iUG3b1SqVf64WdmhJ</t>
  </si>
  <si>
    <t>jordanattila@gmail.com</t>
  </si>
  <si>
    <t>user_2sIfjFLSx5Bw6eUfibYAN9K4zup</t>
  </si>
  <si>
    <t>baneg994@gmail.com</t>
  </si>
  <si>
    <t>user_2wD7AP2D5rGijFFisO2ChVzS1GC</t>
  </si>
  <si>
    <t>sotyobatya@gmail.com</t>
  </si>
  <si>
    <t>user_34L2PfC66Li1PzFcl1wiECAyjm3</t>
  </si>
  <si>
    <t>kardosnorbert78@gmail.com</t>
  </si>
  <si>
    <t>user_2qrCNck5dN7qmKRcIc7ub5AcWcu</t>
  </si>
  <si>
    <t>szabolcs.patay@gmail.com</t>
  </si>
  <si>
    <t>user_31SPvfmiBBwND4g2tMUvHmkEWxJ</t>
  </si>
  <si>
    <t>totherno87@gmail.com</t>
  </si>
  <si>
    <t>user_2osOauDSi8vD8hw5hGJQpgOSJGy</t>
  </si>
  <si>
    <t>balint.i1977@gmail.com</t>
  </si>
  <si>
    <t>user_2wziS2V2rzIhITjJ8ANCpiAT9jR</t>
  </si>
  <si>
    <t>mopeti89@gmail.com</t>
  </si>
  <si>
    <t>user_2v5XipK1ekB6gKceUjAifQppZRW</t>
  </si>
  <si>
    <t>biszku.peter17@gmail.com</t>
  </si>
  <si>
    <t>user_2sLIKl5QZpYWFyxT7NPjvNOk0Ve</t>
  </si>
  <si>
    <t>emoketalos@yahoo.com</t>
  </si>
  <si>
    <t>user_2v5aGYCjYX0ckl2pgD8jiAr2sew</t>
  </si>
  <si>
    <t>vivien_994@hotmail.com</t>
  </si>
  <si>
    <t>user_34L82f4o6P8JSf3aZq61QjcXN5v</t>
  </si>
  <si>
    <t>zoldker123@gmail.com</t>
  </si>
  <si>
    <t>user_2m9G0uqvgFA8ytBoSQbfop4zbqE</t>
  </si>
  <si>
    <t>hetzmanjozsefne@gmail.com</t>
  </si>
  <si>
    <t>user_2lhN2ruAwR10R58eJcN3nUOYpo6</t>
  </si>
  <si>
    <t>feri.meszaros68@gmail.com</t>
  </si>
  <si>
    <t>user_2oselmmtJkLqLvfnFhCzA1u89vK</t>
  </si>
  <si>
    <t>ildiko.hamrik@gmail.com</t>
  </si>
  <si>
    <t>user_2x0M9wC9ZGOk5Wc4C2BVrImB17n</t>
  </si>
  <si>
    <t>csernelysztella@gmail.com</t>
  </si>
  <si>
    <t>user_2v67lWRW5meqS3HHunLkcWivbNH</t>
  </si>
  <si>
    <t>bence.drlengyel@gmail.com</t>
  </si>
  <si>
    <t>user_2sMWyA95v3qKuwHWBD52pMS4TDd</t>
  </si>
  <si>
    <t>nagygyorgy1964@gmail.com</t>
  </si>
  <si>
    <t>user_3048MwLp1InmTBwx6p24Imm86uw</t>
  </si>
  <si>
    <t>fannika1203@gmail.com</t>
  </si>
  <si>
    <t>user_2pi1X8NJ4m0GskPu9u982rjzZ78</t>
  </si>
  <si>
    <t>szegszilvi@hotmail.com</t>
  </si>
  <si>
    <t>user_2qqoQWFpfwUp1UVhHUBB8thj8az</t>
  </si>
  <si>
    <t>klmargit@gmail.com</t>
  </si>
  <si>
    <t>user_2x0guCd0kRyiOG1Sq9rsOOBvxVF</t>
  </si>
  <si>
    <t>detkike13@gmail.com</t>
  </si>
  <si>
    <t>user_2x0hrHDlqwj5mLd0MUc8mexI2Or</t>
  </si>
  <si>
    <t>erik.fenekes@gmail.com</t>
  </si>
  <si>
    <t>user_303fV9nJWBGTjVEabc9PmPE6m8b</t>
  </si>
  <si>
    <t>cynosbaty@gmail.com</t>
  </si>
  <si>
    <t>user_2x0jRQF7x0DGmAa88nDr2wlKhSi</t>
  </si>
  <si>
    <t>fbk143@gmail.com</t>
  </si>
  <si>
    <t>user_2lIDY3DJAN1vsdcQXK796Z93at1</t>
  </si>
  <si>
    <t>szegediera@gmail.com</t>
  </si>
  <si>
    <t>user_2sOD7oapsuxX2W8Tx85qC1pbR15</t>
  </si>
  <si>
    <t>fuleszs@gmail.com</t>
  </si>
  <si>
    <t>user_2yiR3YqnMk7gLCeCPgCnsREHgDM</t>
  </si>
  <si>
    <t>szarka.andi@gmail.com</t>
  </si>
  <si>
    <t>user_2nqOCEFuVyo95iDL1uGnSKttGAz</t>
  </si>
  <si>
    <t>gipszestamas@gmail.com</t>
  </si>
  <si>
    <t>user_31VOeqqSh3PZeRSFcEzS3AYS58P</t>
  </si>
  <si>
    <t>mustos.zoltan74@gmail.com</t>
  </si>
  <si>
    <t>user_2lZBCRfXbFV3ikecUOmLhy6JqJj</t>
  </si>
  <si>
    <t>bokori.szilvia1976@gmail.com</t>
  </si>
  <si>
    <t>user_2nqOCsuYekULWQs9MoglVTNTQwf</t>
  </si>
  <si>
    <t>dorkaturi@gmail.com</t>
  </si>
  <si>
    <t>user_2v7ML7tKxgXKhIo4DEKXF1shkVy</t>
  </si>
  <si>
    <t>ivsziszi@gmail.com</t>
  </si>
  <si>
    <t>deabb3bc-7b68-4e13-b697-f6f7e69fad03</t>
  </si>
  <si>
    <t>czupper.zsofia2@gmail.com</t>
  </si>
  <si>
    <t>user_2sRC6MPoqRZ0KOZdLBDiixqGiHi</t>
  </si>
  <si>
    <t>skupeczikm@gmail.com</t>
  </si>
  <si>
    <t>user_31VwyDpuT6C9mxkKY9Hmxi66K5i</t>
  </si>
  <si>
    <t>beleznai@gmail.com</t>
  </si>
  <si>
    <t>2239b1db-7186-4c54-bd4a-53cee9820fb3</t>
  </si>
  <si>
    <t>ency82@gmail.com</t>
  </si>
  <si>
    <t>user_2pRkrM8l4JtAfJSqrxz9IoVSJZH</t>
  </si>
  <si>
    <t>emi710430@gmail.com</t>
  </si>
  <si>
    <t>user_2lsgUpHK1doI2Jh8vOtAPTqfagQ</t>
  </si>
  <si>
    <t>cz7575@gmail.com</t>
  </si>
  <si>
    <t>user_2lIgsdIph7qWGF0dZiUvSpGC45Z</t>
  </si>
  <si>
    <t>holaki.sandor@gmail.com</t>
  </si>
  <si>
    <t>user_2x30pQ1N9EI8vFgiQWcW6I5nqt2</t>
  </si>
  <si>
    <t>toth.tibor.pumis@gmail.com</t>
  </si>
  <si>
    <t>user_2lIiEmWWk1UKveODVL6F61KoFCX</t>
  </si>
  <si>
    <t>balogh.marcell@gmail.com</t>
  </si>
  <si>
    <t>08856504-d2b8-4a45-917a-6c3f4430693e</t>
  </si>
  <si>
    <t>vincze29david@gmail.com</t>
  </si>
  <si>
    <t>user_2x39HCSj0IFdr4acXHWwyUT9Jp1</t>
  </si>
  <si>
    <t>andrea.simon@merck.com</t>
  </si>
  <si>
    <t>user_2z5HtlxKgooRIC7nczVdeHMj4QY</t>
  </si>
  <si>
    <t>r.tibi74@gmail.com</t>
  </si>
  <si>
    <t>user_2m9l0cakk5a7B1iJmwOiSEirlcI</t>
  </si>
  <si>
    <t>vghsandor85@gmail.com</t>
  </si>
  <si>
    <t>user_2x3CdRjZo0vcFU1fc5fr4hpM5Nv</t>
  </si>
  <si>
    <t>bigzsolt78@gmail.com</t>
  </si>
  <si>
    <t>user_2sTymQA1OL8kWqs3AExqxTYMNMI</t>
  </si>
  <si>
    <t>makcef@gmail.com</t>
  </si>
  <si>
    <t>user_2wBjSJTgGF8CKrXvUxRMJxHgMk3</t>
  </si>
  <si>
    <t>peinlichcsaba@gmail.com</t>
  </si>
  <si>
    <t>user_2mqDcHIDA5n1vuR9l9UWIG94FyE</t>
  </si>
  <si>
    <t>peter49szabo@gmail.com</t>
  </si>
  <si>
    <t>user_351CRbnDWpixaNrhcx7qHyMU0Gc</t>
  </si>
  <si>
    <t>levente.maranyi@gmail.com</t>
  </si>
  <si>
    <t>user_2v7hmqjgdLzh07XjlTw7Rx8BSYE</t>
  </si>
  <si>
    <t>lester@step2design.hu</t>
  </si>
  <si>
    <t>user_2sUsjvtk9yLLOlOWmXWkc5lJTCr</t>
  </si>
  <si>
    <t>eleni.galacanu@gmail.com</t>
  </si>
  <si>
    <t>user_2muzZwa1upj8HPntsQLAPqE3fjE</t>
  </si>
  <si>
    <t>marycseko@gmail.com</t>
  </si>
  <si>
    <t>user_2nEo4IfBNsv7SaCR8yUKooM1uRX</t>
  </si>
  <si>
    <t>menyus62@gmail.com</t>
  </si>
  <si>
    <t>user_2x4qORAbyQ93jx0DnJDrsjHHacU</t>
  </si>
  <si>
    <t>scofieeeld@gmail.com</t>
  </si>
  <si>
    <t>user_302Z7N5NLHI285koPz0QHFVEiF7</t>
  </si>
  <si>
    <t>borbaskriszta2@gmail.com</t>
  </si>
  <si>
    <t>user_2yiy4POmAW9K8hF3lQCvx65tGG8</t>
  </si>
  <si>
    <t>vorostamas1965@gmail.com</t>
  </si>
  <si>
    <t>user_2nr58dJD0O4wmgD7GCoGlwxybGo</t>
  </si>
  <si>
    <t>kszegletes@yahoo.com</t>
  </si>
  <si>
    <t>user_2mAEC7jW451s0yXITbW4IaPcD7u</t>
  </si>
  <si>
    <t>madonnna@freemail.hu</t>
  </si>
  <si>
    <t>user_2qpxUru4My5GxhXLHseYrgci80b</t>
  </si>
  <si>
    <t>lucz.ricsi2000@gmail.com</t>
  </si>
  <si>
    <t>user_31aIDPw0ezrVA5vnXjthk0pu6DV</t>
  </si>
  <si>
    <t>tomas90522@icloud.com</t>
  </si>
  <si>
    <t>user_2z5K9bxTQRco4jgiVS0qYrilTcO</t>
  </si>
  <si>
    <t>korcsmarosbela@t-online.hu</t>
  </si>
  <si>
    <t>user_2yjEvvmLXol2pxtK3NA92ALZMIs</t>
  </si>
  <si>
    <t>kocsissanyika1988@gmail.com</t>
  </si>
  <si>
    <t>user_2zJzRQM920N46yUvYY6kmuZi3u5</t>
  </si>
  <si>
    <t>duranyikzita13@gmail.com</t>
  </si>
  <si>
    <t>user_31aeSNmF31yck3VowsVRaVwDqrK</t>
  </si>
  <si>
    <t>globalszerviz@gmail.com</t>
  </si>
  <si>
    <t>user_2mhtlk5voMFPcDyWk6FpMHmZN6v</t>
  </si>
  <si>
    <t>pali0285@gmail.com</t>
  </si>
  <si>
    <t>user_2mi0vXuZwkcgrvZyH9Ojy88TsPD</t>
  </si>
  <si>
    <t>banditosz001@gmail.com</t>
  </si>
  <si>
    <t>user_2v7zhjdwUVIAyojqImvndxAnOOy</t>
  </si>
  <si>
    <t>vpeg.litauszkya10a@gmail.com</t>
  </si>
  <si>
    <t>user_31arcdX8XbRAwaYjGu8nWJqPCnW</t>
  </si>
  <si>
    <t>kohari.attila33@gmail.com</t>
  </si>
  <si>
    <t>67723079-3c11-4966-bcba-0b27caa27bf5</t>
  </si>
  <si>
    <t>rakoedvioletta@gmal.com</t>
  </si>
  <si>
    <t>user_2x5Lf23regABlBrX8ZnjWnWOvFn</t>
  </si>
  <si>
    <t>etenhaki@aol.com</t>
  </si>
  <si>
    <t>user_2x5LoFvtUAvlBJDNfFsp0l37nyI</t>
  </si>
  <si>
    <t>tkati5406@gmail.com</t>
  </si>
  <si>
    <t>user_2mASfSIxTOlPqSW26620GNvFiZX</t>
  </si>
  <si>
    <t>pal.gabor79@gmail.com</t>
  </si>
  <si>
    <t>user_302Qi1uD3kQ45KGhNQUa2Kntudb</t>
  </si>
  <si>
    <t>tothne.hajni@freemail.hu</t>
  </si>
  <si>
    <t>user_35HmlUAferlzOFXTG6kqRseRLuh</t>
  </si>
  <si>
    <t>bzoltan7@gmail.com</t>
  </si>
  <si>
    <t>user_2sZOneu2fy4253bK5IPpBoDcVxo</t>
  </si>
  <si>
    <t>iskola@gesztered.hu</t>
  </si>
  <si>
    <t>user_2sZePTzvENpcalqC5pQFX1bY0ML</t>
  </si>
  <si>
    <t>vpeti6@freemail.hu</t>
  </si>
  <si>
    <t>user_2sZj1rLS9RaAYBj8CUVu2M5nAQY</t>
  </si>
  <si>
    <t>laszlonovox@gmail.com</t>
  </si>
  <si>
    <t>user_2yjPSCg7jDauh8ToMvdZF08L7d8</t>
  </si>
  <si>
    <t>krinyo37@gmail.com</t>
  </si>
  <si>
    <t>d6c0c1f2-37f1-4f6d-9cb1-8791a3497c7e</t>
  </si>
  <si>
    <t>szirmaiszimi@gmail.com</t>
  </si>
  <si>
    <t>user_31dVKLDjuWz4f3tYGXlC3gTRtr8</t>
  </si>
  <si>
    <t>tiberiu.cimpan@cesprojects.ro</t>
  </si>
  <si>
    <t>user_2wBG3yTHCMbZqXc8sR61Sn9zuQK</t>
  </si>
  <si>
    <t>pocsjanos72@gmail.com</t>
  </si>
  <si>
    <t>user_2l9TTBwi0bFDfCZ6ac6R4w2qqZn</t>
  </si>
  <si>
    <t>nagy.marton00@gmail.com</t>
  </si>
  <si>
    <t>user_2qnyF0qPhyOnnh99a2GCwh7AHNq</t>
  </si>
  <si>
    <t>besnik744@hotmail.com</t>
  </si>
  <si>
    <t>user_2nsbDLZEjvzq0b486RBUac6TTKG</t>
  </si>
  <si>
    <t>tomi.orosz@gmail.com</t>
  </si>
  <si>
    <t>user_31dwwX9psFwyc1Rf5LZzhRFZ6sC</t>
  </si>
  <si>
    <t>bazsone.agi@gmail.com</t>
  </si>
  <si>
    <t>user_300xXSYfcDke06naBwF6QVse05r</t>
  </si>
  <si>
    <t>galgoczinikolett5@gmail.com</t>
  </si>
  <si>
    <t>user_2x68HoMtvWMG7HoWQ6AjoYXNgva</t>
  </si>
  <si>
    <t>rudolf.tothjr@gmail.com</t>
  </si>
  <si>
    <t>user_2nsbwlevI3HK9roV6ycEjzu2c9H</t>
  </si>
  <si>
    <t>m.benedek96@gmail.com</t>
  </si>
  <si>
    <t>user_2vi6E8wQ7U5prqMv0314sARK0MA</t>
  </si>
  <si>
    <t>kovari3290@gmail.com</t>
  </si>
  <si>
    <t>user_2x6D4hWsMfytQO0Pp900l1QybG1</t>
  </si>
  <si>
    <t>szazus@gmail.com</t>
  </si>
  <si>
    <t>user_2nsqvNzF3ZdDxqP46gyHPLxTgJf</t>
  </si>
  <si>
    <t>istvantalas80@gmail.com</t>
  </si>
  <si>
    <t>user_2mBLfm1jKrRWf07AHKYBYDfWeW1</t>
  </si>
  <si>
    <t>geripeter0102@gmail.com</t>
  </si>
  <si>
    <t>user_2zSy0dhCVj24aaS1bKriS20WUvc</t>
  </si>
  <si>
    <t>kallai.oliver2000@gmail.com</t>
  </si>
  <si>
    <t>user_2z5po6cPQ5pH8URAPg3GyPxeW0w</t>
  </si>
  <si>
    <t>konreg@freemail.hu</t>
  </si>
  <si>
    <t>user_2x7RQ4X7d7tuDBnTmHMlIgofXv5</t>
  </si>
  <si>
    <t>hegedushenrietta6@gmail.com</t>
  </si>
  <si>
    <t>user_2z5tBmB5BEzmIzjGlRelrJLhfqN</t>
  </si>
  <si>
    <t>galles.gg@gmail.com</t>
  </si>
  <si>
    <t>user_300vrwzbODD6WdOTogAkgLceHCd</t>
  </si>
  <si>
    <t>gyfricy@gmail.com</t>
  </si>
  <si>
    <t>user_2scCoq0GqGFnXcA7k1iXGV1BGvp</t>
  </si>
  <si>
    <t>vargatilla@yahoo.com</t>
  </si>
  <si>
    <t>user_2qniQq1P9YedqmhpQh6TsLxuCiP</t>
  </si>
  <si>
    <t>holodaistvan@gmail.com</t>
  </si>
  <si>
    <t>user_2ntVqFYxinrVtRiXnHSEJYr3dA7</t>
  </si>
  <si>
    <t>templar75@gmail.com</t>
  </si>
  <si>
    <t>user_2scnj0CV6H3IH3bWJOMaTnCYV29</t>
  </si>
  <si>
    <t>nick.doraa19@gmail.com</t>
  </si>
  <si>
    <t>d659148e-fc5a-4233-9991-99c64a30b7de</t>
  </si>
  <si>
    <t>adrienngyori@gmail.com</t>
  </si>
  <si>
    <t>user_2x82dkS0nAKuCZe2q9z14pBkmwu</t>
  </si>
  <si>
    <t>szappanosxantia@gmail.com</t>
  </si>
  <si>
    <t>22605968-16d0-4603-b550-9e1cb873d7f9</t>
  </si>
  <si>
    <t>apacellerhajni@gmail.com</t>
  </si>
  <si>
    <t>user_2ntZO9ezg972Yi78XkfdY9rSKxC</t>
  </si>
  <si>
    <t>koro2415@gmail.com</t>
  </si>
  <si>
    <t>user_2x8DGwDKAlr1jhM1t8xMoXluF1L</t>
  </si>
  <si>
    <t>zoltan.komar1971@gmail.com</t>
  </si>
  <si>
    <t>user_2x8T1deHiwSGdAHvANcqYMt9rwt</t>
  </si>
  <si>
    <t>kenyereskalman@yahoo.com</t>
  </si>
  <si>
    <t>user_2wAhHsbxc902FnNl02NotevNC4n</t>
  </si>
  <si>
    <t>timea.vaszko@gmail.com</t>
  </si>
  <si>
    <t>user_2v8Ky9lUltkUPfuCocu70r1gsWy</t>
  </si>
  <si>
    <t>polgartifani98@gmail.com</t>
  </si>
  <si>
    <t>user_2z68AIkVjxMuvNEO1JqQpnMqedF</t>
  </si>
  <si>
    <t>gergo.gubis@gmail.com</t>
  </si>
  <si>
    <t>user_2x8fLVwiPKVqT2bddgLDYxmK6wT</t>
  </si>
  <si>
    <t>missdorka@gmail.com</t>
  </si>
  <si>
    <t>user_31gAtImtU79wslOwItaHTlruh9s</t>
  </si>
  <si>
    <t>magyarpe@tolna.net</t>
  </si>
  <si>
    <t>user_2v8dGQ7Y9Z4hpA8I5U43oAOYPS4</t>
  </si>
  <si>
    <t>emesehunyadi99@gmail.com</t>
  </si>
  <si>
    <t>15799ef4-87d0-4d21-9bc4-0d4f1f6907b4</t>
  </si>
  <si>
    <t>vaganyik69@gmail.com</t>
  </si>
  <si>
    <t>user_2vXZYJERfXas51KjEYiDythS7Uh</t>
  </si>
  <si>
    <t>bordi.livi@gmail.com</t>
  </si>
  <si>
    <t>50bd47f5-2ea6-42fb-9b72-d203e21438cf</t>
  </si>
  <si>
    <t>mokanszky.milan@gmail.com</t>
  </si>
  <si>
    <t>user_2x8lVUsZl7UQaYhNrJpgWoUS3Se</t>
  </si>
  <si>
    <t>akosmilla@icloud.com</t>
  </si>
  <si>
    <t>user_2sf3DJuzD2umkYcNQsr9f98CFfh</t>
  </si>
  <si>
    <t>pekmester21@gmail.com</t>
  </si>
  <si>
    <t>user_2x8ow2asdFX6J4VzCcbiY9xADb8</t>
  </si>
  <si>
    <t>radicsattila79@gmail.com</t>
  </si>
  <si>
    <t>user_2nv4HZ9UvXHau1q5QAserXRMEIX</t>
  </si>
  <si>
    <t>bolemanyi.bernadett@gmail.com</t>
  </si>
  <si>
    <t>user_2nDHftuVzwYwaNkpQv6mIeLObM2</t>
  </si>
  <si>
    <t>vinczesugi08@gmail.com</t>
  </si>
  <si>
    <t>user_2x8zQIqEV9GPkPqpyS8OJdvAVrl</t>
  </si>
  <si>
    <t>nagydunamestere@gmail.com</t>
  </si>
  <si>
    <t>user_31gtS1rFJQxhV8yuaEXXRilQ4CW</t>
  </si>
  <si>
    <t>greta.zavodni@gmail.com</t>
  </si>
  <si>
    <t>user_2sfF0vHWuZEdyBp4bCI5Hmxtajc</t>
  </si>
  <si>
    <t>szabo.laszlo.mbe@gmail.com</t>
  </si>
  <si>
    <t>user_2z6IW7pBIgkUk6Q5xRy9WJv9atf</t>
  </si>
  <si>
    <t>rhajdu888@gmail.com</t>
  </si>
  <si>
    <t>user_2zSd90Z6iTaYktXKosrgZ4Aa5cX</t>
  </si>
  <si>
    <t>csakiadam21@gmail.com</t>
  </si>
  <si>
    <t>user_2nDGfNnIwgk1r3WGwqD5eX0u5Gf</t>
  </si>
  <si>
    <t>vass.attila18@gmail.com</t>
  </si>
  <si>
    <t>user_2wAWxe3GgG7lFwN9tthp5I9YqWX</t>
  </si>
  <si>
    <t>neszikati@gmail.com</t>
  </si>
  <si>
    <t>user_2nvSgRlMs68lES4TweaRo73e5IX</t>
  </si>
  <si>
    <t>zsolt.kovacs@effem.com</t>
  </si>
  <si>
    <t>user_2oyZG7JUZm83cGm2wwc67hTAOW3</t>
  </si>
  <si>
    <t>kiss.dodo.98@gmail.com</t>
  </si>
  <si>
    <t>user_2oywaoZxcuYlQFfBzdzTIZ4lQDU</t>
  </si>
  <si>
    <t>bohardavid92@gmail.com</t>
  </si>
  <si>
    <t>user_2nvYWX3b2nIEl5uEOrZPLjewsId</t>
  </si>
  <si>
    <t>turzo.balint714@gmail.com</t>
  </si>
  <si>
    <t>user_2nvZo5cRSr6mdUXYjPVgbT1pOTx</t>
  </si>
  <si>
    <t>lascsik.kriszta@gmail.com</t>
  </si>
  <si>
    <t>user_2xAZYR24eVjLQx9bwETQiXULKyB</t>
  </si>
  <si>
    <t>fabiantina2002@gmail.com</t>
  </si>
  <si>
    <t>user_300Flgw6fCD1fNvjBNxrIKUf9wW</t>
  </si>
  <si>
    <t>dorka.karoczkai21@gmail.com</t>
  </si>
  <si>
    <t>user_2wAWtyFPSz9gYFlnMgD7yUeiH6f</t>
  </si>
  <si>
    <t>trebor7460@gmail.com</t>
  </si>
  <si>
    <t>user_3009iuw3UBpHyznfddinWvjElMH</t>
  </si>
  <si>
    <t>bodo.norbert71@gmail.com</t>
  </si>
  <si>
    <t>user_2lsGZmacyYt1PYDNaarb41LFEU8</t>
  </si>
  <si>
    <t>jozsefsz71@gmail.com</t>
  </si>
  <si>
    <t>user_2sic5Rtl0lZQfcBJKhN6xpmkyEr</t>
  </si>
  <si>
    <t>zsofika09@gmail.com</t>
  </si>
  <si>
    <t>user_2ylNTsCeHpRFHSzNdphC6QAgaMm</t>
  </si>
  <si>
    <t>csako.bence@gmail.com</t>
  </si>
  <si>
    <t>user_2sjMS6d9HVaqHVTCAaeS1MWRUnv</t>
  </si>
  <si>
    <t>bosnyakdani453@gmail.com</t>
  </si>
  <si>
    <t>5fff6ffe-5b80-40ba-a2a0-e63f24ff4377</t>
  </si>
  <si>
    <t>menyhartjozs@gmail.com</t>
  </si>
  <si>
    <t>2f3980df-3f28-4b9e-87b1-26d44d3eb858</t>
  </si>
  <si>
    <t>nyerluczkinga@gmail.com</t>
  </si>
  <si>
    <t>user_3004PpYAflHpwhkuqicnV9Fh75f</t>
  </si>
  <si>
    <t>jungika78@gmail.com</t>
  </si>
  <si>
    <t>604d4849-847d-4143-a961-0cf7612b3791</t>
  </si>
  <si>
    <t>singereva@gmail.com</t>
  </si>
  <si>
    <t>user_2mCgwESt7OAfuuO081KKS1MSaw2</t>
  </si>
  <si>
    <t>pasztorrobert1967@gmail.com</t>
  </si>
  <si>
    <t>user_2ylkbncuW1Xt9ZVWnRg5lIawIZZ</t>
  </si>
  <si>
    <t>kilian.zsanett@gmail.com</t>
  </si>
  <si>
    <t>2f4b6414-88a7-45a9-8d03-21fd71d7c280</t>
  </si>
  <si>
    <t>pillmannlaura@gmail.com</t>
  </si>
  <si>
    <t>user_2zzxKffyEu4g7zihZmnkApu1o4B</t>
  </si>
  <si>
    <t>kriszti.hoffer@gmail.com</t>
  </si>
  <si>
    <t>user_2nvs4BL0FLBq5Rmy0NSqGNUn707</t>
  </si>
  <si>
    <t>kovacsmoni94@gmail.com</t>
  </si>
  <si>
    <t>user_2nvtJTTj4gyRRJvrPRSeDPzSCbF</t>
  </si>
  <si>
    <t>tothlevente11@gmail.com</t>
  </si>
  <si>
    <t>0cdc7fe3-345e-4ff6-8772-344e99d05c8e</t>
  </si>
  <si>
    <t>sziszi.tima@gamil.com</t>
  </si>
  <si>
    <t>user_2zzt2IJAohcTrCddJbOlgxGcuhf</t>
  </si>
  <si>
    <t>fiametta.fekete@gmail.com</t>
  </si>
  <si>
    <t>user_2nw47wbEjtgfmkjZUPWo4I5r1u0</t>
  </si>
  <si>
    <t>baramartin0831@gmail.com</t>
  </si>
  <si>
    <t>user_2xBzFdbIIKa4m4ACEbv0TO8QsGn</t>
  </si>
  <si>
    <t>amlerpeti@gmail.com</t>
  </si>
  <si>
    <t>user_2vAIcqQ6SPXOtRSGlB60msxKr2w</t>
  </si>
  <si>
    <t>laszloandrassuba@gmail.com</t>
  </si>
  <si>
    <t>user_2xCnzTFbxGoOCKqcxYBFVA7n1Ip</t>
  </si>
  <si>
    <t>gaborkovacs.starjan@gmail.com</t>
  </si>
  <si>
    <t>user_2xD1K2Ob21CiNNQ1PcaPdo1LKwx</t>
  </si>
  <si>
    <t>lan.beatrix90@gmail.com</t>
  </si>
  <si>
    <t>user_2nw4RcJlDMFk30yMIjJXOefL73C</t>
  </si>
  <si>
    <t>andrea.gemes1@gmail.com</t>
  </si>
  <si>
    <t>user_2qlLl5iAePs1Pb0RBqm6GmLubwY</t>
  </si>
  <si>
    <t>szilvi612@gmail.com</t>
  </si>
  <si>
    <t>user_2oz7BlYgt1YDw1vmyjXlODcWpPf</t>
  </si>
  <si>
    <t>amolnar.mail@gmail.com</t>
  </si>
  <si>
    <t>user_2wAM19v1PerNUrmOYdVYv8SxDDA</t>
  </si>
  <si>
    <t>jaszpal@yahoo.com.sg</t>
  </si>
  <si>
    <t>user_2mCj7L5GP9ZU2BF5y2NCbypioeC</t>
  </si>
  <si>
    <t>motal.gyorgy@gmail.com</t>
  </si>
  <si>
    <t>user_2vP7ahQbH35PK6daYe8ljgz1sfC</t>
  </si>
  <si>
    <t>tataivarosfejleszto@gmail.com</t>
  </si>
  <si>
    <t>user_2lZX3pDJurjVvkazcb6shcdWwIS</t>
  </si>
  <si>
    <t>zeleimariann1@gmail.com</t>
  </si>
  <si>
    <t>c837612d-7ce5-45e2-8b58-a193f96bd0f3</t>
  </si>
  <si>
    <t>fazecasdora123@gmail.com</t>
  </si>
  <si>
    <t>user_2qlI7dly0cIm21G4OmxSbtVATQF</t>
  </si>
  <si>
    <t>gmajoros80@gmail.com</t>
  </si>
  <si>
    <t>user_2sqPhDawiDC0lrNqia88tUxhyOo</t>
  </si>
  <si>
    <t>papaiandris@gmail.com</t>
  </si>
  <si>
    <t>user_31n86eC2IJAvNMwIFls6800giuT</t>
  </si>
  <si>
    <t>dominho57@gmail.com</t>
  </si>
  <si>
    <t>user_2miTWly3wdWWzZlp3kL4v0ASW3d</t>
  </si>
  <si>
    <t>magyar.istike@gmail.com</t>
  </si>
  <si>
    <t>79b49cb0-f0d2-443d-a32a-2395b84a6ff3</t>
  </si>
  <si>
    <t>jgy1955@gmail.com</t>
  </si>
  <si>
    <t>user_2xDuatTWrDr2hCSoaqE2aLtqJZ7</t>
  </si>
  <si>
    <t>farkas.bufi@gmail.com</t>
  </si>
  <si>
    <t>user_2xDub9rjgOIi3qQHeKsXF6D0zDo</t>
  </si>
  <si>
    <t>nilike0721@gmail.com</t>
  </si>
  <si>
    <t>user_2zyT1iuLG7D9By6plNQrSneZwlh</t>
  </si>
  <si>
    <t>wunderli.kristopher@gmail.com</t>
  </si>
  <si>
    <t>user_2nCVsWVxPpq7LJi47hHJ2gaAkrc</t>
  </si>
  <si>
    <t>sztmatuszka@gmail.com</t>
  </si>
  <si>
    <t>user_2l711Vwe8lWFRoJdPcfdqNkWDrA</t>
  </si>
  <si>
    <t>eszto89@gmail.com</t>
  </si>
  <si>
    <t>b0a1acd0-0d58-435a-8e02-f4de12903a43</t>
  </si>
  <si>
    <t>hmate1879@gmail.com</t>
  </si>
  <si>
    <t>user_2ls3ETClMW0iYAwk5jg1S6lHj1p</t>
  </si>
  <si>
    <t>hornyakedo@gmail.com</t>
  </si>
  <si>
    <t>user_2w93jIxblSKnBuU6wtIaCu2MLSr</t>
  </si>
  <si>
    <t>daianaschefler@gmail.com</t>
  </si>
  <si>
    <t>user_2mD67tVG31TFiphzGJP2nX5VTUL</t>
  </si>
  <si>
    <t>katona113@gmail.com</t>
  </si>
  <si>
    <t>user_2nxzQlO9XHqaKNS4TEQFjltIizd</t>
  </si>
  <si>
    <t>juzo@freemail.hu</t>
  </si>
  <si>
    <t>user_2xEOSh6mIL7AKRwBEsKwwKMw1NC</t>
  </si>
  <si>
    <t>varjuvili76@gmail.com</t>
  </si>
  <si>
    <t>user_2xEW3778B4Iz2eZe3tMiLxLKHJE</t>
  </si>
  <si>
    <t>zoltan.szanto16@gmail.com</t>
  </si>
  <si>
    <t>user_2p12J5MezvdaDnEFNr2vWOQ7gFF</t>
  </si>
  <si>
    <t>meisitz22@gmail.com</t>
  </si>
  <si>
    <t>user_2xEWg2QAsKtGLvyOYYlzWWLfd0D</t>
  </si>
  <si>
    <t>galjozsef790@gmail.com</t>
  </si>
  <si>
    <t>user_2vAtACReZ5NexlCeTsnXq3HHKxl</t>
  </si>
  <si>
    <t>csapobalazs1981@gmail.com</t>
  </si>
  <si>
    <t>user_2zy8uFKxCiXs37lyRa4hWXy3v9L</t>
  </si>
  <si>
    <t>kocsig75@gmail.com</t>
  </si>
  <si>
    <t>user_2muubmowOoaszzFbD3wrlrn6EMO</t>
  </si>
  <si>
    <t>ditke1984@gmail.com</t>
  </si>
  <si>
    <t>user_31q11sMHjz4vbNtmrGF2w3r5ujl</t>
  </si>
  <si>
    <t>virag.bardos01@gmail.com</t>
  </si>
  <si>
    <t>8c5ee883-8558-4bcf-9b29-dd1dc6ce6ca4</t>
  </si>
  <si>
    <t>mayer.szilvi@gmail.com</t>
  </si>
  <si>
    <t>user_2qgMixD4S2Q4R9sfXWg8Up6IDTZ</t>
  </si>
  <si>
    <t>proschool.andrea@gmail.com</t>
  </si>
  <si>
    <t>user_2nyI7bJolIGuDEaFZ0HYaYcWrPA</t>
  </si>
  <si>
    <t>sesztaklorant@gmail.com</t>
  </si>
  <si>
    <t>user_2mpKeo7aS1cQGd83r0rCg9bnmbC</t>
  </si>
  <si>
    <t>szlk1970@gmail.com</t>
  </si>
  <si>
    <t>user_2stt6oM2PfUc2nbFFJHV7WI1xif</t>
  </si>
  <si>
    <t>rostasi.eva@gmail.com</t>
  </si>
  <si>
    <t>user_2vB2Y2ocvHGYLJS1RN0zZ3ozpwU</t>
  </si>
  <si>
    <t>kilian.andras74@gmail.com</t>
  </si>
  <si>
    <t>user_2pUlAQV8BuNTqnY2aWC8vIdXmIG</t>
  </si>
  <si>
    <t>agnes.korosi@axpel.com</t>
  </si>
  <si>
    <t>user_2qgCZOqm89QH4zCJCKvqxJM2LPp</t>
  </si>
  <si>
    <t>laci_50@yahoo.com</t>
  </si>
  <si>
    <t>user_2zwpYrVIdDu0wf5BNl7ziGkmSDG</t>
  </si>
  <si>
    <t>weberagnes@gmail.com</t>
  </si>
  <si>
    <t>user_31rZgsDI8vUgMcV3yDibAisMMfp</t>
  </si>
  <si>
    <t>doka.anita.pr@gmail.com</t>
  </si>
  <si>
    <t>user_2nyUEK3wBDgrIMFcS1Wlm9oUuzz</t>
  </si>
  <si>
    <t>slezi999@gmail.com</t>
  </si>
  <si>
    <t>user_2w8NjH9DD9vegvZKEB6KZXI9RFZ</t>
  </si>
  <si>
    <t>hodovan2@gmail.com</t>
  </si>
  <si>
    <t>user_2yo1IxSPnXZ36sNTa7JJryWHKTY</t>
  </si>
  <si>
    <t>radivill@gmail.com</t>
  </si>
  <si>
    <t>user_2lMx99NI54CKBFR9VNKUHwR0y1q</t>
  </si>
  <si>
    <t>palotaskitti99@gmail.com</t>
  </si>
  <si>
    <t>user_2qd2TkkDg3AwxJso5fyp3u79LdQ</t>
  </si>
  <si>
    <t>rolee910@gmail.com</t>
  </si>
  <si>
    <t>user_34Q70giSV9DpB1Jh2mhrho8ITjr</t>
  </si>
  <si>
    <t>kellerlinda1982@gmail.com</t>
  </si>
  <si>
    <t>user_2vhrouxLEVnUZwUNsC3I4JL9xaU</t>
  </si>
  <si>
    <t>orosiek@op.pl</t>
  </si>
  <si>
    <t>user_2nz2bSfEYBwFrNAz4YZEwL1kRpO</t>
  </si>
  <si>
    <t>herczegsuzig@gmail.com</t>
  </si>
  <si>
    <t>user_2zwaJCVQujndwqNq0b8epyYzZGM</t>
  </si>
  <si>
    <t>tekla.somoskoi@hotmail.com</t>
  </si>
  <si>
    <t>user_34QDuF62WLPeAaZOM7YIID9IQJ8</t>
  </si>
  <si>
    <t>bithalver@gmail.com</t>
  </si>
  <si>
    <t>user_2qaQlLQ6gYv4U2ekY39WSCvpRVB</t>
  </si>
  <si>
    <t>norbi.nagy91@gmail.com</t>
  </si>
  <si>
    <t>user_2xH2S026kNca1kVo3TBMxxdJX7n</t>
  </si>
  <si>
    <t>grozacristian1985@gmail.com</t>
  </si>
  <si>
    <t>user_2nzDfT2tbQMBZFC3WZsFOUbGUIB</t>
  </si>
  <si>
    <t>klimalux99@gmail.com</t>
  </si>
  <si>
    <t>user_31sSj4BZwPVvvsTDCkzyF4vP7O5</t>
  </si>
  <si>
    <t>judit131525@gmail.com</t>
  </si>
  <si>
    <t>user_31sUjDOBS2TFcTinSkNspH9xhlZ</t>
  </si>
  <si>
    <t>tusa.kornelia@gmail.com</t>
  </si>
  <si>
    <t>eb7b336b-75f6-4439-bf78-4c355f485285</t>
  </si>
  <si>
    <t>polgi8420@gmail.com</t>
  </si>
  <si>
    <t>user_2zvGs2b7GJcbTv2bEL6aY4ovXE0</t>
  </si>
  <si>
    <t>szimonetta199910@gmail.com</t>
  </si>
  <si>
    <t>user_31sc7dcIiTOuMyrOw29lsLN9fXI</t>
  </si>
  <si>
    <t>danikovacs2017@gmail.com</t>
  </si>
  <si>
    <t>user_2syfg8ijpso5DTAetthw4Gk5LGU</t>
  </si>
  <si>
    <t>atesz2001@yahoo.com</t>
  </si>
  <si>
    <t>user_2sygVOpnZZP5XT8uA5urFotMnvx</t>
  </si>
  <si>
    <t>betinvest47@gmail.com</t>
  </si>
  <si>
    <t>12615b42-ba11-4572-8f7a-a0c87d6a13a4</t>
  </si>
  <si>
    <t>fanniifrr@gmail.com</t>
  </si>
  <si>
    <t>619aedc8-f0fb-484a-b7f8-b7cadd6d2554</t>
  </si>
  <si>
    <t>medgerg@gmail.com</t>
  </si>
  <si>
    <t>user_31u9M0LWfpjlmmto5CbooTD9xAq</t>
  </si>
  <si>
    <t>danku.tibor22@gmail.com</t>
  </si>
  <si>
    <t>user_2nAfHqq1RxDyX2jA35yG12Huz7k</t>
  </si>
  <si>
    <t>mudrane.monika@gmail.com</t>
  </si>
  <si>
    <t>user_2sz2QgTKOpbLAQnVWZCsQyZ9JVY</t>
  </si>
  <si>
    <t>sebestyenlaszlo602@gmail.com</t>
  </si>
  <si>
    <t>user_2qaAlUY1JLcbVoByewuRwMWXnzX</t>
  </si>
  <si>
    <t>kitti.gozan@gmail.com</t>
  </si>
  <si>
    <t>user_2xIqpvsbQtldQWAig44wuiJ1LHg</t>
  </si>
  <si>
    <t>szedeligabor@gmail.com</t>
  </si>
  <si>
    <t>7a55a109-38db-4991-9eb2-7178c240b743</t>
  </si>
  <si>
    <t>andrej.szimko@gmail.com</t>
  </si>
  <si>
    <t>user_31uSOHEX1boCXrvK7jHPMkXT7uD</t>
  </si>
  <si>
    <t>morikjulius@gmail.com</t>
  </si>
  <si>
    <t>user_2xIwlNrizv6Kc44EpP9S5qpqEnu</t>
  </si>
  <si>
    <t>helena.kissne.gemes@unicreditgroup.hu</t>
  </si>
  <si>
    <t>user_31upR5d60fUL4WfCnBMmR1jj1o1</t>
  </si>
  <si>
    <t>szabopatrik736@gmail.com</t>
  </si>
  <si>
    <t>user_31uqqF5UUlIBShGBE3oK0Qz5OzF</t>
  </si>
  <si>
    <t>buksy9@freemail.hu</t>
  </si>
  <si>
    <t>user_2w7iaDbuPDojgJ7OsrwBNjZXwfI</t>
  </si>
  <si>
    <t>balog.gabor31@gmail.com</t>
  </si>
  <si>
    <t>user_31v5SjPjrhXBB3a581hzWg3hZeG</t>
  </si>
  <si>
    <t>zilahdavid0301@gmail.com</t>
  </si>
  <si>
    <t>user_2xJ5xEuICmnwIG36zitmitoY1gs</t>
  </si>
  <si>
    <t>herczegdiana86@gmail.com</t>
  </si>
  <si>
    <t>user_2nAXaVwlR6UvHxaTWYagSUD5GLP</t>
  </si>
  <si>
    <t>alettatot26@gmail.com</t>
  </si>
  <si>
    <t>user_2w7Sg8CrpjfeneFDfBDgyNRRWtM</t>
  </si>
  <si>
    <t>radnaij65@gmail.com</t>
  </si>
  <si>
    <t>fb725c9c-aec0-408d-b76c-6f2a0d8eaf6b</t>
  </si>
  <si>
    <t>kerekgyartoklaudia100@gmail.com</t>
  </si>
  <si>
    <t>user_2xJGWxmBkPL7sODMa8WO2oieFk5</t>
  </si>
  <si>
    <t>nscsaba@gmail.com</t>
  </si>
  <si>
    <t>user_2w7JtMmsnypgQp2ZH2ZCCo9MsUd</t>
  </si>
  <si>
    <t>szaboveresa@gmail.com</t>
  </si>
  <si>
    <t>user_2zuQFy84jsk8bn9ucaF163IJ5Tu</t>
  </si>
  <si>
    <t>baloghmisi41@gmail.com</t>
  </si>
  <si>
    <t>user_31wYWsWQRyt6sDq6cEPqhXlHeVD</t>
  </si>
  <si>
    <t>kittii.07@freemail.hu</t>
  </si>
  <si>
    <t>user_2o0iX3n84FZ03Sl4P1u9uk67ZXc</t>
  </si>
  <si>
    <t>ludizsolt@gmail.com</t>
  </si>
  <si>
    <t>d561f3bf-48d3-4e5a-90a3-c4b4ab2c0d99</t>
  </si>
  <si>
    <t>tisza.veda@gmail.com</t>
  </si>
  <si>
    <t>user_2w6B4gYPQHFcyZif728nsnNopzg</t>
  </si>
  <si>
    <t>maricsmartina@gmail.com</t>
  </si>
  <si>
    <t>user_2xJeuMclIDP5LHpaqVCcsVeW1Zg</t>
  </si>
  <si>
    <t>ritter.gabcsi@gmail.com</t>
  </si>
  <si>
    <t>user_2pLSxhjt2b0FzVP50ifNdbuscQa</t>
  </si>
  <si>
    <t>wojciech@wojkam.pl</t>
  </si>
  <si>
    <t>user_2xJiCUJRpt7E29NSzyJUcndCWXV</t>
  </si>
  <si>
    <t>tormamaria1956@gmail.com</t>
  </si>
  <si>
    <t>user_2t2Kfz2vW4Jt0ZU9jACSfKwaagj</t>
  </si>
  <si>
    <t>marin.skener01@gmail.com</t>
  </si>
  <si>
    <t>user_2o0xcIgCJ67c8zRt8fVrzlmxI0e</t>
  </si>
  <si>
    <t>cipryp@yahoo.ie</t>
  </si>
  <si>
    <t>user_31xEV9CEuQ7w9Wbw4K0scuKmwim</t>
  </si>
  <si>
    <t>kukucskakrisz@gmail.com</t>
  </si>
  <si>
    <t>user_2mFjYbbnPfzm1irZjMk7yhNjXnT</t>
  </si>
  <si>
    <t>abert.adrian@gmail.com</t>
  </si>
  <si>
    <t>user_2p1wYtHtqpto4NRGQAJiOEsEqqp</t>
  </si>
  <si>
    <t>csbzsu@gmail.com</t>
  </si>
  <si>
    <t>user_2mjdXtxPgyDFUq3CtkxTgggDfO8</t>
  </si>
  <si>
    <t>gall.beata.ildiko@gmail.com</t>
  </si>
  <si>
    <t>user_31xaEwBmXwKldOIdcYcKYV2uHqp</t>
  </si>
  <si>
    <t>a.szilvia07@gmail.com</t>
  </si>
  <si>
    <t>user_2zu4Q9MAMYQKLzKywtpaOXuMHm3</t>
  </si>
  <si>
    <t>methos10@gmail.com</t>
  </si>
  <si>
    <t>user_2t2yY80L20YguWJXtI7dSNN8Dp5</t>
  </si>
  <si>
    <t>dizel33@freemail.hu</t>
  </si>
  <si>
    <t>user_31xjgdKb3VWmofyRebeLMpYEUef</t>
  </si>
  <si>
    <t>julcsi.keszeg@gmail.com</t>
  </si>
  <si>
    <t>user_2vXV2MYmk9lDBx0VTUKtsP5RKVS</t>
  </si>
  <si>
    <t>viktor.royal00@gmail.com</t>
  </si>
  <si>
    <t>user_2xLjaeYZYxeND4nEvyfQdN7UJ2T</t>
  </si>
  <si>
    <t>zoltan.zsoldos@gmail.com</t>
  </si>
  <si>
    <t>user_2t3FZj8HnwyT1F7d4chlJGB1CKW</t>
  </si>
  <si>
    <t>csaba.pickarczyk@gmail.com</t>
  </si>
  <si>
    <t>user_2t4PHZbIrSn4OjmnXGVjbkvRjnD</t>
  </si>
  <si>
    <t>liliomfa11@gmail.com</t>
  </si>
  <si>
    <t>user_2pX332CWUbytPbdoIthYZuE6lBC</t>
  </si>
  <si>
    <t>barby9105@gmail.com</t>
  </si>
  <si>
    <t>user_2xMThJIGGQ4P5wCs0MjlWpNv1u0</t>
  </si>
  <si>
    <t>revay1979@gmail.com</t>
  </si>
  <si>
    <t>user_2mFsZjSTlXRCZSlGQ8SrD9NLOlc</t>
  </si>
  <si>
    <t>akosba66@freemail.hu</t>
  </si>
  <si>
    <t>user_2t4RS0XK7mzIDt0kXqGey5BC9dx</t>
  </si>
  <si>
    <t>fityo69@gmail.com</t>
  </si>
  <si>
    <t>user_2mjnb7yK2MCkOeXk06b5AX5pvvQ</t>
  </si>
  <si>
    <t>bandor93@gmail.com</t>
  </si>
  <si>
    <t>user_2o15IQmLKJid9Ltc6PuKDYQvKT1</t>
  </si>
  <si>
    <t>g91gina12@gmail.com</t>
  </si>
  <si>
    <t>user_2t7j7u96crTkDjuM0e3OdgzjAKG</t>
  </si>
  <si>
    <t>zacharlaszlo68@gmail.com</t>
  </si>
  <si>
    <t>6c2aaeff-7f24-443d-8500-6cd9c7f5e139</t>
  </si>
  <si>
    <t>urbanne.sz.csilla84@gmail.com</t>
  </si>
  <si>
    <t>user_2zu2ZhR0OYzYM5K8Q9n1zyahzqK</t>
  </si>
  <si>
    <t>bgdnbettina@gmail.com</t>
  </si>
  <si>
    <t>user_2mjpSGaFr2AtZSzi3MKkqNz7hJ8</t>
  </si>
  <si>
    <t>barotibarbara@gmail.com</t>
  </si>
  <si>
    <t>user_2xN695and261VbrFLnWu39l67XC</t>
  </si>
  <si>
    <t>tothpeter0423@gmail.com</t>
  </si>
  <si>
    <t>user_2mjvOU0tVlL0MYakvi2dH8E68av</t>
  </si>
  <si>
    <t>horesnyibela66@gmail.com</t>
  </si>
  <si>
    <t>user_2lrocdnEghn6pYFyCbKn25CIgHR</t>
  </si>
  <si>
    <t>fsanyi66@gmail.com</t>
  </si>
  <si>
    <t>user_2tCvnABmc1OWrPRwQV4wLGA5MTK</t>
  </si>
  <si>
    <t>fureder.laszlo@gmail.com</t>
  </si>
  <si>
    <t>user_2xNKjPnztwa9lN8n0AgiU14D02F</t>
  </si>
  <si>
    <t>puklics.barbara@gmail.com</t>
  </si>
  <si>
    <t>user_2qXGuddof281oorC0Qb0URabE7q</t>
  </si>
  <si>
    <t>gaby.reni79@gmail.com</t>
  </si>
  <si>
    <t>user_2tDRDAmFnY3Z5kolMtP2qUE4xmq</t>
  </si>
  <si>
    <t>feher.gyorgy.arko@gmail.com</t>
  </si>
  <si>
    <t>user_2tDk08SJWTlzhxFjYfLPxMh8zdP</t>
  </si>
  <si>
    <t>benczekristina@yahoo.com</t>
  </si>
  <si>
    <t>user_2xOGYRY1cOAZ7KVydkk3OHzNY4o</t>
  </si>
  <si>
    <t>ftomi9843@gmail.com</t>
  </si>
  <si>
    <t>user_2nA5F0M77tzyNJJEZXVAGWfL1pG</t>
  </si>
  <si>
    <t>garasmariann@gmail.com</t>
  </si>
  <si>
    <t>user_2w5cubm29j2PFu208o9KZ4n7NRl</t>
  </si>
  <si>
    <t>jedi0026@gmail.com</t>
  </si>
  <si>
    <t>user_2xOLZis83O32Xo2lQyB7XGaJT0z</t>
  </si>
  <si>
    <t>akos.harmat@gmail.com</t>
  </si>
  <si>
    <t>user_2ypUlzFQ1PJlYnGMd3itvGvEjga</t>
  </si>
  <si>
    <t>zadigabriella44@gmail.com</t>
  </si>
  <si>
    <t>user_2tFjIqPJOHznKISW9PH1fcspTyF</t>
  </si>
  <si>
    <t>tomasek.marta@gmail.com</t>
  </si>
  <si>
    <t>user_2nA4QiLWutvWu7Pep4nUYnSn0h6</t>
  </si>
  <si>
    <t>schmeckt16@proton.me</t>
  </si>
  <si>
    <t>user_323BHbWy7yk16JBRwq56zf4s83J</t>
  </si>
  <si>
    <t>csaki.csongorbela@gmail.com</t>
  </si>
  <si>
    <t>user_323FZLwrSwhfrrpGObrumXWXoBb</t>
  </si>
  <si>
    <t>kadarbarni10@gmail.com</t>
  </si>
  <si>
    <t>user_2vfkywgRdCShTc9URlWhF2pnUox</t>
  </si>
  <si>
    <t>ovivar1982@gmail.com</t>
  </si>
  <si>
    <t>user_2tGUGdiSe6gSGHBr9znVR0keNjs</t>
  </si>
  <si>
    <t>pataki.jozsi58@gmail.com</t>
  </si>
  <si>
    <t>user_2xOrpqIquNXszkOHhL9gG4kZW9c</t>
  </si>
  <si>
    <t>patakikriszta@gmail.com</t>
  </si>
  <si>
    <t>6d63731d-a77e-4a93-9964-f9f694da0f28</t>
  </si>
  <si>
    <t>amofakft@gmail.com</t>
  </si>
  <si>
    <t>a232ae8a-4512-4e54-b882-ecb69992c3ad</t>
  </si>
  <si>
    <t>trinn.annamaria@gmail.com</t>
  </si>
  <si>
    <t>user_2z8PaBBdytj6xH5qQsBEvIuJFoP</t>
  </si>
  <si>
    <t>papp.tibor0@gmail.com</t>
  </si>
  <si>
    <t>user_2xP10uUkGyy4PJHw46scMy3P95m</t>
  </si>
  <si>
    <t>majorlinda0502@gmail.com</t>
  </si>
  <si>
    <t>user_323VMtVsAGXA7jfLsgPcPBJGk7i</t>
  </si>
  <si>
    <t>rozsagabor70@gmail.com</t>
  </si>
  <si>
    <t>user_2mtZ0VMcLRJFYMWDPWNVu7B9oj9</t>
  </si>
  <si>
    <t>orosz.jakab@gmail.com</t>
  </si>
  <si>
    <t>ebe95427-fb60-45e2-8703-bdf8b4e94eb6</t>
  </si>
  <si>
    <t>lorincz.balazs15@gmail.com</t>
  </si>
  <si>
    <t>user_34SMPr6HayxF7EjHw4sCcGRnMnX</t>
  </si>
  <si>
    <t>anett.bozodi@gmail.com</t>
  </si>
  <si>
    <t>user_2zEEcRfVGjCPKcHkRXRrIEssUqg</t>
  </si>
  <si>
    <t>nmatocza@freemail.hu</t>
  </si>
  <si>
    <t>user_2lPirzVtzXPpZpbu0eukfbZtuet</t>
  </si>
  <si>
    <t>icukat@gmail.com</t>
  </si>
  <si>
    <t>user_2tJkUWOYdsAmMZv7E0q1jF1XIPx</t>
  </si>
  <si>
    <t>math3lorand@gmail.com</t>
  </si>
  <si>
    <t>user_2xPDXOBT3eL58U8zQ4RPj1W32QG</t>
  </si>
  <si>
    <t>waterpolorozi@gmail.com</t>
  </si>
  <si>
    <t>61f9bb4c-34be-4046-9e74-81f9b402f662</t>
  </si>
  <si>
    <t>botondcsekeo@gmail.com</t>
  </si>
  <si>
    <t>user_2zsMp8qW4JB801XRhHJ4P4wqyE3</t>
  </si>
  <si>
    <t>blivi75@gmail.com</t>
  </si>
  <si>
    <t>user_2o22bd2N8jMZcmbCPH1rYyTberB</t>
  </si>
  <si>
    <t>munnich.bence@gmail.com</t>
  </si>
  <si>
    <t>54296a53-21aa-4c5c-a46d-3ee53649f29d</t>
  </si>
  <si>
    <t>bence.szabo1121@gmail.com</t>
  </si>
  <si>
    <t>user_325ZGVltzziuEPZFD3QGuJQtCdL</t>
  </si>
  <si>
    <t>beltekyrozy@gmail.com</t>
  </si>
  <si>
    <t>user_2xPXbRx4XO0JK6uUPwYe7rM8OTm</t>
  </si>
  <si>
    <t>drszakszon@gmail.com</t>
  </si>
  <si>
    <t>user_325cNAuRGtbWHwx3rWRRYgPz4Ca</t>
  </si>
  <si>
    <t>juliux90@gmail.com</t>
  </si>
  <si>
    <t>user_2lqjbcJUqowI8oomP0oO0zvQkob</t>
  </si>
  <si>
    <t>nagybm@gmail.com</t>
  </si>
  <si>
    <t>user_2tLQnbtiGWoNblqSZV3wuq5SLVI</t>
  </si>
  <si>
    <t>taxi.plusz@gmail.com</t>
  </si>
  <si>
    <t>user_2lQDaHgoc0Sz5UukcjxX6YjbJNt</t>
  </si>
  <si>
    <t>szabrob75@gmail.com</t>
  </si>
  <si>
    <t>user_3263YxJ5eeZvux18uDaJ3n8htzC</t>
  </si>
  <si>
    <t>martinsimonsumi@gmail.com</t>
  </si>
  <si>
    <t>user_2tLWv7ODkjDIXY71KZyBEqJhmmr</t>
  </si>
  <si>
    <t>gjyrezis@decoral-line.com</t>
  </si>
  <si>
    <t>user_2zJBRku0G6PaRaHe2rUceWB8PPB</t>
  </si>
  <si>
    <t>tompakrisz@gmail.com</t>
  </si>
  <si>
    <t>user_2lqhjuCelyjtlksXUlZ4szZA95b</t>
  </si>
  <si>
    <t>clickbaitsyt@gmail.com</t>
  </si>
  <si>
    <t>user_2lqdYolHQvit2fh0WOuDU94UhLi</t>
  </si>
  <si>
    <t>szeman.norbert@gmail.com</t>
  </si>
  <si>
    <t>user_326P43i2ST1RkKgdSp7KkbU5Wne</t>
  </si>
  <si>
    <t>attilabajzath@gmail.com</t>
  </si>
  <si>
    <t>user_2xQ1IV7CzzZuNOvrRophMmPj9eI</t>
  </si>
  <si>
    <t>darvasi.klara@gmail.com</t>
  </si>
  <si>
    <t>user_2xQAvft1cKcN4t3jKFvV3Tukq0M</t>
  </si>
  <si>
    <t>halapi@me.com</t>
  </si>
  <si>
    <t>user_2mrjSG8aJeQzxYMqhyLj4xIGeEH</t>
  </si>
  <si>
    <t>bataline@gmail.com</t>
  </si>
  <si>
    <t>user_2tLw7Yjnf9McQ1p2wR1cGsRFZhA</t>
  </si>
  <si>
    <t>matetoth.pecs@gmail.com</t>
  </si>
  <si>
    <t>user_2zrz4opnH4bsNuxhYrOOKXZnDr6</t>
  </si>
  <si>
    <t>kovesoli@gmail.com</t>
  </si>
  <si>
    <t>user_2lQXl8awe1sIJeaWgGAcX05IhrH</t>
  </si>
  <si>
    <t>laczijo0@gmail.com</t>
  </si>
  <si>
    <t>user_2mHhrQHqT5pCFLbwUPNmNR8uzZs</t>
  </si>
  <si>
    <t>szalkay.balazs@gmail.com</t>
  </si>
  <si>
    <t>user_2tOdW2yuCT6Ajnv43LJokRkfMUc</t>
  </si>
  <si>
    <t>vargaghe@gmail.com</t>
  </si>
  <si>
    <t>user_2lQf6kWfDomsc02LGxpjJPDvg6f</t>
  </si>
  <si>
    <t>nemethboti21@gmail.com</t>
  </si>
  <si>
    <t>user_2qUlQl3CHJWD5oHFr0qOwSDyhmH</t>
  </si>
  <si>
    <t>bettenbuch1973@gmail.com</t>
  </si>
  <si>
    <t>user_328MnslfNh0wq87FnCP0K6LYbPF</t>
  </si>
  <si>
    <t>makriszta26@gmail.com</t>
  </si>
  <si>
    <t>user_2xRVRZcNL9ciZUzN2CsNsiR3iW0</t>
  </si>
  <si>
    <t>imu090@gmail.com</t>
  </si>
  <si>
    <t>user_2xRcFxXyctedto2f7JtrO5nb9IR</t>
  </si>
  <si>
    <t>pimaszborz@gmail.com</t>
  </si>
  <si>
    <t>user_2tP6BiVD5NmDgKP3aWO4b1VVC26</t>
  </si>
  <si>
    <t>jasna.oresic@gmail.com</t>
  </si>
  <si>
    <t>user_328gLHe2Djb0MLQqwgEzI03nwX4</t>
  </si>
  <si>
    <t>janosiviktoria3@gmail.com</t>
  </si>
  <si>
    <t>user_34SknHvHusnmQmdc2V3fF3HaI8I</t>
  </si>
  <si>
    <t>santikusz1976@gmail.com</t>
  </si>
  <si>
    <t>user_2qUOB4pxc2WDoY5xHHBabMDHhFt</t>
  </si>
  <si>
    <t>pbalogh33@gmail.com</t>
  </si>
  <si>
    <t>user_2tQ48N6ylLrEN5EOMa7Pj0ebMB1</t>
  </si>
  <si>
    <t>matezka@gmail.com</t>
  </si>
  <si>
    <t>user_2p4nwu80P6EJPytfWOSNRb53yvT</t>
  </si>
  <si>
    <t>lehocz.regina@gmail.com</t>
  </si>
  <si>
    <t>user_2vdpt50CVvxqixQfuvFtzfJBd3k</t>
  </si>
  <si>
    <t>fugerthandrea@gmail.com</t>
  </si>
  <si>
    <t>user_328zq8QGkcUItWxpKV5KOwiZajS</t>
  </si>
  <si>
    <t>o.vegera92@gmail.com</t>
  </si>
  <si>
    <t>user_3290i6xYR6xAiykOns2sFTmV1w9</t>
  </si>
  <si>
    <t>kalmananna92@gmail.com</t>
  </si>
  <si>
    <t>user_2o46DR9Jbm3qlFCM8R2GDkUkPEL</t>
  </si>
  <si>
    <t>hovanyecz.a@gmail.com</t>
  </si>
  <si>
    <t>user_329JSXbL2JNy1zXLkmbblORIS8C</t>
  </si>
  <si>
    <t>feketezoltan07@gmail.com</t>
  </si>
  <si>
    <t>user_2o4AksNo3vJZ4vKT6BurToOwZop</t>
  </si>
  <si>
    <t>z.szilvus@gmail.com</t>
  </si>
  <si>
    <t>user_2zrgKq478cSBPUHGfLFsvNZ8NFd</t>
  </si>
  <si>
    <t>brigi.nemeth@gmail.com</t>
  </si>
  <si>
    <t>user_2tRVb0JO3S8v1MNYZKfhdIhDK3c</t>
  </si>
  <si>
    <t>tural_t2001@mail.ru</t>
  </si>
  <si>
    <t>user_2w4SAHUChVJpUQG1cyRMVRLVlOa</t>
  </si>
  <si>
    <t>schmidt.karolina89@gmail.com</t>
  </si>
  <si>
    <t>user_2tRcNkFgGXvygLbLLhKNOdAakbP</t>
  </si>
  <si>
    <t>kalmanvalter7@gmail.com</t>
  </si>
  <si>
    <t>user_2tRdV3hZwNFqoIvi1OPtATCiMit</t>
  </si>
  <si>
    <t>steve.berkes@gmail.com</t>
  </si>
  <si>
    <t>user_2tRiRYBnnq2uc2unT7WURSlHpph</t>
  </si>
  <si>
    <t>janosdekany@gmail.com</t>
  </si>
  <si>
    <t>user_2mHvTRoI84jrsnURfATXPVpXZZ4</t>
  </si>
  <si>
    <t>plastform@plastform.co.hu</t>
  </si>
  <si>
    <t>user_2w4QEvpxZAMQ2KVLFQadGYqov3U</t>
  </si>
  <si>
    <t>horanyi.judit@gmail.com</t>
  </si>
  <si>
    <t>user_2vdmdLfiarN0MOVZalTGitzXZNF</t>
  </si>
  <si>
    <t>danilev10@ukr.net</t>
  </si>
  <si>
    <t>user_2z8mZ1qJWA7G7YQTOj53INJwpMl</t>
  </si>
  <si>
    <t>hajni7533@freemail.hu</t>
  </si>
  <si>
    <t>user_2qTh3DsWnBJoZkz9KI2qtiYlrfo</t>
  </si>
  <si>
    <t>enze07@gmail.com</t>
  </si>
  <si>
    <t>user_2n9MXWndWZOfYqkCy3n7j6vP1li</t>
  </si>
  <si>
    <t>pmludanyi@gmail.com</t>
  </si>
  <si>
    <t>user_2tSG6m0M6qFOAzzMPZ1EptuH8IA</t>
  </si>
  <si>
    <t>jkoshmann@gmail.com</t>
  </si>
  <si>
    <t>user_2o4TEkykYrB5YpEO2Y3pHHhlYsV</t>
  </si>
  <si>
    <t>zozocar0401@gmail.com</t>
  </si>
  <si>
    <t>user_2o4YIQaNgPlhRfAgYIrNSJK63fN</t>
  </si>
  <si>
    <t>nemes.krisztian88@gmail.com</t>
  </si>
  <si>
    <t>user_2zr0qQQ7pIJq7TyB81qHflqrXbg</t>
  </si>
  <si>
    <t>kardosb91@gmail.com</t>
  </si>
  <si>
    <t>user_2tSOJusT7lKysOOmE7rYYBjki6N</t>
  </si>
  <si>
    <t>radeczkie@gmail.com</t>
  </si>
  <si>
    <t>user_2lQoAJPdbdC6zKeTUnliIFMKtXr</t>
  </si>
  <si>
    <t>szekely.andras2024@gmail.com</t>
  </si>
  <si>
    <t>user_2o4fC9wWtDQenPVAwpDbt6oHr6h</t>
  </si>
  <si>
    <t>vartib68@gmail.com</t>
  </si>
  <si>
    <t>user_2xUVjCyss2fVRmZvglxDpJS5LRS</t>
  </si>
  <si>
    <t>veresnagykinga@gmail.com</t>
  </si>
  <si>
    <t>user_2mIBGFw5uCfJEwdnLbGwCY3LQCs</t>
  </si>
  <si>
    <t>l.koch@freemail.hu</t>
  </si>
  <si>
    <t>user_32BvIe97T4YP8qHxkR9TtpXA5xK</t>
  </si>
  <si>
    <t>yamtov10@gmail.com</t>
  </si>
  <si>
    <t>b641894b-4700-47e8-a945-161e9c79c806</t>
  </si>
  <si>
    <t>vadaszedina3@gmail.com</t>
  </si>
  <si>
    <t>user_32C1zpftchZ40jEUQX7LU9OKXeD</t>
  </si>
  <si>
    <t>pappmarton88@gmail.com</t>
  </si>
  <si>
    <t>user_32C24AsLBkqjdMduvAKZr2Ts4Fo</t>
  </si>
  <si>
    <t>gizmo83@freemail.hu</t>
  </si>
  <si>
    <t>user_2tTaO77z6qN34Rgyng1UAVcW5Hx</t>
  </si>
  <si>
    <t>buyingbird75@gmail.com</t>
  </si>
  <si>
    <t>user_2kpUcc7Gtj3i01UcAlUOneMBLv7</t>
  </si>
  <si>
    <t>boros.laszlo77@gmail.com</t>
  </si>
  <si>
    <t>user_2tTqSM1n4WonaGxjqXoVoomca5S</t>
  </si>
  <si>
    <t>richard.bobal321@gmail.com</t>
  </si>
  <si>
    <t>user_2pRs0NGLsFdfiSCZX9JZiBTujKR</t>
  </si>
  <si>
    <t>laszlowagner@freemail.hu</t>
  </si>
  <si>
    <t>user_2mIVDiiCeuAChIf2ImNMtFRFmFU</t>
  </si>
  <si>
    <t>tamalt71@gmail.com</t>
  </si>
  <si>
    <t>user_2tUaRASJbqJE57eH8Iq5TSiPtIr</t>
  </si>
  <si>
    <t>madari.akos@gmail.com</t>
  </si>
  <si>
    <t>user_2xUxybtFF7ngbeRSKjS7qogI9iw</t>
  </si>
  <si>
    <t>doraviki123@gmail.com</t>
  </si>
  <si>
    <t>user_32CPmpwJG8HLhcW7gjhK5UbyZND</t>
  </si>
  <si>
    <t>szaboalex12c@gmail.com</t>
  </si>
  <si>
    <t>user_32CfboVoWAtvBeAz2Q3UdXs69F5</t>
  </si>
  <si>
    <t>philipp519@hotmail.com</t>
  </si>
  <si>
    <t>user_2o4x9AO8jSv50HsL0LiRAn8HLm0</t>
  </si>
  <si>
    <t>kocsibarbara@gmail.com</t>
  </si>
  <si>
    <t>user_2lR8Hr4FPF0SLtciczMEtxotse9</t>
  </si>
  <si>
    <t>szaszsara1972@gmail.com</t>
  </si>
  <si>
    <t>user_2mkiZUOtaif84ikAUYCIu7kAwrE</t>
  </si>
  <si>
    <t>halmos.peter77@gmail.com</t>
  </si>
  <si>
    <t>user_2tV069r3P7Jk7UDvuXNaLJvkvxZ</t>
  </si>
  <si>
    <t>javori.p.l@gmail.com</t>
  </si>
  <si>
    <t>user_2tVG0HV1gHjh5hIEaSW54kZYyVw</t>
  </si>
  <si>
    <t>kardoshelga1@gmail.com</t>
  </si>
  <si>
    <t>user_2vEOgJctXBbncjsx4FJYv1zsboT</t>
  </si>
  <si>
    <t>szedelyialexa@gmail.com</t>
  </si>
  <si>
    <t>user_32E6BtNhwjCWB6aFWP1XkCoxKK4</t>
  </si>
  <si>
    <t>borosalexandra@gmail.com</t>
  </si>
  <si>
    <t>user_2mkr6ltRMtZboGXomWNFZLmbPCR</t>
  </si>
  <si>
    <t>monikalassu@gmail.com</t>
  </si>
  <si>
    <t>user_32EAaCFg0qOVsA8XuYcniVqjTig</t>
  </si>
  <si>
    <t>orsoly89@gmail.com</t>
  </si>
  <si>
    <t>user_32EAkDQ7xYg3DHIdsOTGyUPRlKK</t>
  </si>
  <si>
    <t>vivii0616@gmail.com</t>
  </si>
  <si>
    <t>user_2o55slHzK9RTzjn02ihqxZfYGeA</t>
  </si>
  <si>
    <t>financsek1985@gmail.com</t>
  </si>
  <si>
    <t>user_2vEbkulpnhcHzMxMTsH3pIMzNCM</t>
  </si>
  <si>
    <t>rblibai@gmail.com</t>
  </si>
  <si>
    <t>user_32EF71y9M68DXVX7QFURCsBluTl</t>
  </si>
  <si>
    <t>brigitta.laszlo94@gmail.com</t>
  </si>
  <si>
    <t>user_2p7LSHmRr6cAWednDjpO2mLe9hd</t>
  </si>
  <si>
    <t>kiscsubi@gmail.com</t>
  </si>
  <si>
    <t>user_32EasaNJCximq80qhIxk4qbA9hk</t>
  </si>
  <si>
    <t>kovacsj02@freemail.hu</t>
  </si>
  <si>
    <t>user_2zpovc0x4ieqZ3njJi3Zf5OTxjp</t>
  </si>
  <si>
    <t>elso59@gmail.com</t>
  </si>
  <si>
    <t>user_2mIoAuQ7awJ7S5nz0oV4ertsxPW</t>
  </si>
  <si>
    <t>szaboattila0228@gmail.com</t>
  </si>
  <si>
    <t>user_2zphJdOEIiBjIODWXPYxqZJo1tl</t>
  </si>
  <si>
    <t>juhaszmartin@icloud.com</t>
  </si>
  <si>
    <t>user_2vFuIyrCvIZDbEFERYbNgTEgrL5</t>
  </si>
  <si>
    <t>horvath.renata97@icloud.com</t>
  </si>
  <si>
    <t>user_2xX9GDoJPjSgjIjffTkQhumrgNL</t>
  </si>
  <si>
    <t>beczagi@gmail.com</t>
  </si>
  <si>
    <t>user_34TDSKMDJ588q6HEln2cXckTpvv</t>
  </si>
  <si>
    <t>szokendy.tamas@gmail.com</t>
  </si>
  <si>
    <t>user_2z8rtabxkbolalTFu8ARJvEOl8b</t>
  </si>
  <si>
    <t>fodorkriszti25@gmail.com</t>
  </si>
  <si>
    <t>user_2tXjK0AehjOsRyKPztj1vv3wlxv</t>
  </si>
  <si>
    <t>dorka.zemplenyi@gmail.com</t>
  </si>
  <si>
    <t>fd4318cc-c725-4e80-8867-c602e6c673c0</t>
  </si>
  <si>
    <t>batonyianett@gmail.com</t>
  </si>
  <si>
    <t>user_2p7MAgkNINRdcHLNAHzBPdsvZ4X</t>
  </si>
  <si>
    <t>orsidetty@gmail.com</t>
  </si>
  <si>
    <t>cc04d57e-82a6-4840-959c-613c2c93df30</t>
  </si>
  <si>
    <t>torolt-email</t>
  </si>
  <si>
    <t>torolt-telefonszam</t>
  </si>
  <si>
    <t>user_2zpSIh2KKe0lGcOwFWUDq530VDP</t>
  </si>
  <si>
    <t>hadygyury@gmail.com</t>
  </si>
  <si>
    <t>user_2qR4HR6tfSvdZJ2N5n3XuBPxPIk</t>
  </si>
  <si>
    <t>senorredei83@gmail.com</t>
  </si>
  <si>
    <t>7bb2d905-5e61-488b-9a50-9fbf948522a8</t>
  </si>
  <si>
    <t>papp@vamosivendeghaz.hu</t>
  </si>
  <si>
    <t>user_2n95Km88PxYeqHtGHbrY97kqyel</t>
  </si>
  <si>
    <t>kerkapolyreni@gmail.com</t>
  </si>
  <si>
    <t>user_2pf2aYgEPVbPrsoM4xAfpjeSE4X</t>
  </si>
  <si>
    <t>judy101210@hotmail.com</t>
  </si>
  <si>
    <t>user_2vGDH5WtLeCLmjKjUOvrnapL7Tg</t>
  </si>
  <si>
    <t>alolk2000@gmail.com</t>
  </si>
  <si>
    <t>user_2lqEfwT0gi7wSGw0ovZElo2qbAJ</t>
  </si>
  <si>
    <t>varadi.vivien90@gmail.com</t>
  </si>
  <si>
    <t>user_2w2gVaXvwudouELWC4JvGoTkJhM</t>
  </si>
  <si>
    <t>roberto70.diver@gmail.com</t>
  </si>
  <si>
    <t>user_2vWqA8B3Agv55OX2pU0y1D2XUof</t>
  </si>
  <si>
    <t>hernan_b_2014@live.com</t>
  </si>
  <si>
    <t>user_32HeVlekrwiXVmz2c8bMhp615mX</t>
  </si>
  <si>
    <t>petru.pokorny@gmail.com</t>
  </si>
  <si>
    <t>user_2taUtF1rSy4EzKc0lwZiECf7RTv</t>
  </si>
  <si>
    <t>ferenc.szlavecz@gmail.com</t>
  </si>
  <si>
    <t>user_2zoSHLkEBo71kiLr9fVvMZW4cEs</t>
  </si>
  <si>
    <t>remenyicar@gmail.com</t>
  </si>
  <si>
    <t>user_2ysGkZWuslabKEKvwM53MtZYuYM</t>
  </si>
  <si>
    <t>balatony@hotmail.hu</t>
  </si>
  <si>
    <t>user_2lSLj2G1kxtHm14Dev9eD3fAyPJ</t>
  </si>
  <si>
    <t>hajdulacko@outlook.hu</t>
  </si>
  <si>
    <t>user_2o7rxndfPwGUgbWiaTACPShXFYe</t>
  </si>
  <si>
    <t>acadvor@gmail.com</t>
  </si>
  <si>
    <t>user_2lSRPzJrSnZCebnYhXPomJ5WQeN</t>
  </si>
  <si>
    <t>adam.pongo@gmail.com</t>
  </si>
  <si>
    <t>2fa7a4ca-96e7-47bb-a84a-76bb11f90da9</t>
  </si>
  <si>
    <t>sz.sara12@gmail.com</t>
  </si>
  <si>
    <t>user_2o7vPqjGHTyEtOdM3fwIxuReeeg</t>
  </si>
  <si>
    <t>pataiflori@gmail.com</t>
  </si>
  <si>
    <t>user_2mtYPJGR0n71QB2rJ3OK74siMFI</t>
  </si>
  <si>
    <t>lillaivan@web.de</t>
  </si>
  <si>
    <t>user_2lSYrge9BsmQJdN7wMxAGl0X0MK</t>
  </si>
  <si>
    <t>n.gabor47@hotmail.com</t>
  </si>
  <si>
    <t>user_2zoLiiAfs3rj62eG64XBeaAHxoQ</t>
  </si>
  <si>
    <t>lili.a.popper@gmail.com</t>
  </si>
  <si>
    <t>user_2mtURgbL7tSBpisZdGfXs3VsRLz</t>
  </si>
  <si>
    <t>szokoloczine.maria@gmail.com</t>
  </si>
  <si>
    <t>user_2tdbb2eGkMoVLTHsHFphiteghPI</t>
  </si>
  <si>
    <t>zsuzsa309@freemail.hu</t>
  </si>
  <si>
    <t>user_2n8kWlQtngOrsfaXz264dsGaOHB</t>
  </si>
  <si>
    <t>trombitas40@freemail.hu</t>
  </si>
  <si>
    <t>user_2xaN1KmamxGK0r5an3LtY1qVA0m</t>
  </si>
  <si>
    <t>vatai.evi@gmail.com</t>
  </si>
  <si>
    <t>user_2qOwa4KZvPlHbCVWwCi06nsJctZ</t>
  </si>
  <si>
    <t>andikert13@gmail.com</t>
  </si>
  <si>
    <t>user_2o7yZiZJToGaDp4KNHEja4nsx7a</t>
  </si>
  <si>
    <t>till.berenyi@gmail.com</t>
  </si>
  <si>
    <t>user_32MopIfewOiU5mXF13JLv7t0ICy</t>
  </si>
  <si>
    <t>palhazy75@gmail.com</t>
  </si>
  <si>
    <t>user_2tf9kWf300WlE2iBuUkvhytofgY</t>
  </si>
  <si>
    <t>boglarkasugar268@gmail.com</t>
  </si>
  <si>
    <t>user_2mKWNro3KcPvdr7M2glNQdvAnWk</t>
  </si>
  <si>
    <t>gkovacsi@t-online.hu</t>
  </si>
  <si>
    <t>user_2tfVuUPAYb57SpeI4IqSkHcv9mw</t>
  </si>
  <si>
    <t>peterkeszegh1996@gmail.com</t>
  </si>
  <si>
    <t>user_32NIBT0E0kTiv9LDnGtUQ8CcdBc</t>
  </si>
  <si>
    <t>britanszkig@gmail.com</t>
  </si>
  <si>
    <t>user_2tfsViZhdPXAkDwKzUZLAEg9sMQ</t>
  </si>
  <si>
    <t>pentek_andras@yahoo.com</t>
  </si>
  <si>
    <t>user_32NMiBy3fGOuYss4PK4rjH8srAC</t>
  </si>
  <si>
    <t>aqvinobt@gmail.com</t>
  </si>
  <si>
    <t>user_2ysLNN8sSlfIsHDJz9WH9UNAlyv</t>
  </si>
  <si>
    <t>ludvig88@gmail.com</t>
  </si>
  <si>
    <t>user_2tgBCqeKe3H6cjKH3zAbWvoANnq</t>
  </si>
  <si>
    <t>skornel2001@gmail.com</t>
  </si>
  <si>
    <t>user_2p7XygqA8ODFP6yr2377hT8fUiw</t>
  </si>
  <si>
    <t>lajkop@gmail.com</t>
  </si>
  <si>
    <t>user_2mKaYVOMh9ZFT9gFO9dEW7O62yz</t>
  </si>
  <si>
    <t>berenazsuzsa@gmail.com</t>
  </si>
  <si>
    <t>user_32Nb6bS4Jkt2YhLC5NQy6MDPmv8</t>
  </si>
  <si>
    <t>rusko.levente@gmail.com</t>
  </si>
  <si>
    <t>user_2zmudT3O4gkQ7EhgzojEctUnJdJ</t>
  </si>
  <si>
    <t>sjanka@t-online.hu</t>
  </si>
  <si>
    <t>user_2zmM4OWW70vwvVkP7JAHVNxpqU9</t>
  </si>
  <si>
    <t>molika92@gmail.com</t>
  </si>
  <si>
    <t>user_32NsekWhxhGLlkj2KMFcMeVPaiR</t>
  </si>
  <si>
    <t>detti.veszely@gmail.com</t>
  </si>
  <si>
    <t>user_32P68r9CL6jtMIxKESXi2MnCk6P</t>
  </si>
  <si>
    <t>kovacs77akos@gmail.com</t>
  </si>
  <si>
    <t>user_2w1tz4qdXUuRjD9KlRhEt5HWlxG</t>
  </si>
  <si>
    <t>szarvas.v0522@gmail.com</t>
  </si>
  <si>
    <t>user_2xcau3JW1jISr1mlh8umkCcs4Px</t>
  </si>
  <si>
    <t>najlonzsolt@gmail.com</t>
  </si>
  <si>
    <t>user_2xcb7MBGF6lkAy54XvVN8kOSaC2</t>
  </si>
  <si>
    <t>cbdoil.hu@gmail.com</t>
  </si>
  <si>
    <t>user_2l5xTmE9eSAn0Zqba8t9rM0uwb4</t>
  </si>
  <si>
    <t>ikerkavics@gmail.com</t>
  </si>
  <si>
    <t>user_32PMGLa0wp1PxHRrGaDJ9EUw6S0</t>
  </si>
  <si>
    <t>gyonib@gmail.com</t>
  </si>
  <si>
    <t>user_2qNrGxE56LJ5QIoxWVVTPTNYDon</t>
  </si>
  <si>
    <t>soska@soska.hu</t>
  </si>
  <si>
    <t>7c46b95e-d8d3-48c1-b206-6111c7d425c9</t>
  </si>
  <si>
    <t>nagybalazs317@gmail.com</t>
  </si>
  <si>
    <t>26e3ee2b-ac3d-4d1e-a2eb-679962481780</t>
  </si>
  <si>
    <t>varga.dorina.1513@gmail.com</t>
  </si>
  <si>
    <t>user_2mkw3oNvq5mQPqCSS8HbmzPsICX</t>
  </si>
  <si>
    <t>veghedit1@gmail.com</t>
  </si>
  <si>
    <t>626c8663-cfbd-422b-a308-d8aad79a44de</t>
  </si>
  <si>
    <t>viktorilles6@gmail.com</t>
  </si>
  <si>
    <t>user_2tkg6G2a2GrDw72wOeL3gZkuPQC</t>
  </si>
  <si>
    <t>t.bogi26@icloud.com</t>
  </si>
  <si>
    <t>user_32PXAxaxi7arxNy06aC4JxO7Etc</t>
  </si>
  <si>
    <t>ladanyibor@gmail.com</t>
  </si>
  <si>
    <t>user_2tkiPgyP62DFNe8XqwHSJFPn3Z9</t>
  </si>
  <si>
    <t>venesz1980@gmail.com</t>
  </si>
  <si>
    <t>user_2ysQbayhzWGidwbHwe58d9phdH2</t>
  </si>
  <si>
    <t>oppeltcs@outlook.hu</t>
  </si>
  <si>
    <t>user_2o9oqjYyUJ6oqX0zO3PH1FVUv4i</t>
  </si>
  <si>
    <t>strongrj18@gmail.com</t>
  </si>
  <si>
    <t>user_2w0MTvZY99m2L11b2qZygESWSR0</t>
  </si>
  <si>
    <t>gyula.mobil@gmail.com</t>
  </si>
  <si>
    <t>user_2ysSBVtocZCQCuC33nVhm5vg6Fj</t>
  </si>
  <si>
    <t>mislinca@gmail.com</t>
  </si>
  <si>
    <t>user_2zHq7mbwU1GenJQ4uYZxGMU7039</t>
  </si>
  <si>
    <t>atila.somogyvari@gmail.com</t>
  </si>
  <si>
    <t>user_2l5kNtX8Zuc5HvSwFjfftAS1Hk6</t>
  </si>
  <si>
    <t>herpaip@gmail.com</t>
  </si>
  <si>
    <t>user_2xdLIas2NFS3ZD2eNgOhc2c8yUg</t>
  </si>
  <si>
    <t>burik.katalin@gmail.com</t>
  </si>
  <si>
    <t>user_2xdNQ3SjoASIUyhYjgKRpXgATXy</t>
  </si>
  <si>
    <t>sanyika0009@gmail.com</t>
  </si>
  <si>
    <t>user_2zl6Kompi521Hn042ek2DzUY6lM</t>
  </si>
  <si>
    <t>szabolcs.bodor73@gmail.com</t>
  </si>
  <si>
    <t>user_2ytWEGz27Kaya62zqMvGyLNHajN</t>
  </si>
  <si>
    <t>nagymarty1003@gmail.com</t>
  </si>
  <si>
    <t>user_2tmNvtYqZRoaWpgU8PGiZnqVr6f</t>
  </si>
  <si>
    <t>papapeter2076@gmail.com</t>
  </si>
  <si>
    <t>user_2oA2lTGOpYbg6jzd0iPMzL1cFNG</t>
  </si>
  <si>
    <t>monika.bodnar@gmail.com</t>
  </si>
  <si>
    <t>user_32QdcXO6FjdlAXBPy7bRI1QkjPm</t>
  </si>
  <si>
    <t>sarnyaia1@gmail.com</t>
  </si>
  <si>
    <t>user_2p7nMmvNvZAEui9uOvOexe4Y1Pd</t>
  </si>
  <si>
    <t>regike0407@gmail.com</t>
  </si>
  <si>
    <t>user_2tnZL6HEboxA9ix6tPEvDGqFkkp</t>
  </si>
  <si>
    <t>torok.tibor7919@gmail.com</t>
  </si>
  <si>
    <t>user_2oAEJeEPjMvKPDbgfpvjZVtSyhN</t>
  </si>
  <si>
    <t>stifimiki69@gmail.com</t>
  </si>
  <si>
    <t>user_2vcwMcoKdAe7wLpAGU0SFBDzQ2P</t>
  </si>
  <si>
    <t>laosz2020@gmail.com</t>
  </si>
  <si>
    <t>user_2qMWk6IIrFkNzPYtJ7DrZpoYmzJ</t>
  </si>
  <si>
    <t>ktomi177@gmail.com</t>
  </si>
  <si>
    <t>user_2mLdMoiUf0DvUBepD69v5w7TLh9</t>
  </si>
  <si>
    <t>robesz@pataky.hu</t>
  </si>
  <si>
    <t>user_2n7OjSXDAufSyj0jG3o2iDp8Ypw</t>
  </si>
  <si>
    <t>csorgojozef@gmail.com</t>
  </si>
  <si>
    <t>user_32SGO3sYjcQ2NusEuBqFKQbYcoP</t>
  </si>
  <si>
    <t>jeneigabesz@gmail.com</t>
  </si>
  <si>
    <t>user_2mqEKjaVykLPi4BQPrOCrYb4zeA</t>
  </si>
  <si>
    <t>zsbugi@gmail.com</t>
  </si>
  <si>
    <t>user_2vGpR4fyWvxSJSOrqLR1v3gYRLJ</t>
  </si>
  <si>
    <t>varga.csaba.sopron75@gmail.com</t>
  </si>
  <si>
    <t>user_2xe9KRdZ2UpumMyDbByNMFxi8s8</t>
  </si>
  <si>
    <t>patrik.szabo9506@gmail.com</t>
  </si>
  <si>
    <t>user_2n7BNamwZThlwms2KIYRk06sJVp</t>
  </si>
  <si>
    <t>zsamika77@gmail.com</t>
  </si>
  <si>
    <t>user_2vGpiFpV0dPFcuLcB0xNFGjefrY</t>
  </si>
  <si>
    <t>nikolett.012@gmail.com</t>
  </si>
  <si>
    <t>user_2zjkCrKUCUlGVlXpQPQ4gApYc6k</t>
  </si>
  <si>
    <t>andreacozma83@yahoo.com</t>
  </si>
  <si>
    <t>user_2qLTolTusEDRvUixUdnmwacG3Lr</t>
  </si>
  <si>
    <t>orosz.b@gmail.com</t>
  </si>
  <si>
    <t>user_32T6uqPShRHSrsC31lURM2XwbNg</t>
  </si>
  <si>
    <t>rituci16@gmail.com</t>
  </si>
  <si>
    <t>e710f786-5295-4e13-bee1-a6d0ad6c07d9</t>
  </si>
  <si>
    <t>friz.meli@gmail.com</t>
  </si>
  <si>
    <t>user_2xfadZepehiWhshdKM4ZwygaibF</t>
  </si>
  <si>
    <t>jeneigabi01@gmail.com</t>
  </si>
  <si>
    <t>user_2oAnffu6X9i72CsHtJ3nFYMiH9C</t>
  </si>
  <si>
    <t>dude920228@gmail.com</t>
  </si>
  <si>
    <t>user_2mMsikytxCM0L3TgvSga51Kv9Nw</t>
  </si>
  <si>
    <t>varganead@gmail.com</t>
  </si>
  <si>
    <t>5699d809-d69a-4702-9890-3a469b716409</t>
  </si>
  <si>
    <t>ulyamajor@gmail.com</t>
  </si>
  <si>
    <t>user_2tpwW8tFL0vSlWsQbLAoI8MtD4G</t>
  </si>
  <si>
    <t>letike199240@gmail.com</t>
  </si>
  <si>
    <t>user_2zjOeRdapDmSBY0j7jpHW8ej28R</t>
  </si>
  <si>
    <t>kisskrisztina183@gmail.com</t>
  </si>
  <si>
    <t>user_2lpx6vzwXcZXB31UsdV900PDNmp</t>
  </si>
  <si>
    <t>tatai.andrea0@gmail.com</t>
  </si>
  <si>
    <t>user_2tqCzphwmVdkdbYSM5GIFU8eI1X</t>
  </si>
  <si>
    <t>antal@nagy.hu</t>
  </si>
  <si>
    <t>user_32V1YOXMCSlzdCBJKM7e6fXYCSf</t>
  </si>
  <si>
    <t>arpasirobert44@gmail.com</t>
  </si>
  <si>
    <t>user_2pQRnKrBdcmCCZfBBhHxnCRpOce</t>
  </si>
  <si>
    <t>csucsu0706@freemail.hu</t>
  </si>
  <si>
    <t>user_32V5vKUrXSPG78UMbTtur3W7eSQ</t>
  </si>
  <si>
    <t>automobilux@gmail.com</t>
  </si>
  <si>
    <t>user_2zjD1hgSmOWpOZp28IGLhYZA8ez</t>
  </si>
  <si>
    <t>tothrek@gmail.com</t>
  </si>
  <si>
    <t>user_2oCGRtmvg9Np6ibDbP7Z157fHnA</t>
  </si>
  <si>
    <t>kissnetti0102@gmail.com</t>
  </si>
  <si>
    <t>user_2oCGtasKJRE7b2osGADTzctI75L</t>
  </si>
  <si>
    <t>gevaibalint@gmail.com</t>
  </si>
  <si>
    <t>user_2yu3d5VXdD5XdefmvQWM94iDXDq</t>
  </si>
  <si>
    <t>ferkooo319@gmail.com</t>
  </si>
  <si>
    <t>user_2oCVgjflXEjKMFMV2pcSU6I25nl</t>
  </si>
  <si>
    <t>petersugar@gmail.com</t>
  </si>
  <si>
    <t>user_2vGsT54anRNIRcBXnjZkkbLYq8f</t>
  </si>
  <si>
    <t>abelpapp92@gmail.com</t>
  </si>
  <si>
    <t>user_2tqhXHwxkb3ZZRpTu4RL2Qqbg15</t>
  </si>
  <si>
    <t>kiss.diana98@icloud.com</t>
  </si>
  <si>
    <t>user_32VVXBs6bjmFCq71TyDUSS513HA</t>
  </si>
  <si>
    <t>visztu@gmail.com</t>
  </si>
  <si>
    <t>user_2oCh6fWR2aQnSnnmzMcfRfYThpx</t>
  </si>
  <si>
    <t>buszosmisi@freemail.hu</t>
  </si>
  <si>
    <t>user_2mN0Z8nOjXAJoc3kE4eKEHVA3uB</t>
  </si>
  <si>
    <t>banu.laszlo03@gmail.com</t>
  </si>
  <si>
    <t>user_2tqqdlY2EyrLmCodUIzfXabUSAj</t>
  </si>
  <si>
    <t>eszterke123@gmail.com</t>
  </si>
  <si>
    <t>user_34Vwy9WO8Xtdmby0BMH3mPAgKae</t>
  </si>
  <si>
    <t>helgahangrad@gmail.com</t>
  </si>
  <si>
    <t>user_2tr88qeDsSvN0O5ykOmdnKdMI0m</t>
  </si>
  <si>
    <t>kisacor@gmail.com</t>
  </si>
  <si>
    <t>user_2lSy722ryZUxZYO3lTATRYwAXSC</t>
  </si>
  <si>
    <t>balogh.marianna138@gmail.com</t>
  </si>
  <si>
    <t>user_2lpsFDRpqHHvHEPKlnwdoZ7nSMg</t>
  </si>
  <si>
    <t>horvathkft1995@gmail.com</t>
  </si>
  <si>
    <t>user_32VnBJrIWfVglp7Tz19CF0zO82u</t>
  </si>
  <si>
    <t>fonyodimelinda@gmail.com</t>
  </si>
  <si>
    <t>user_32VoWQMJtEzMVPhHN0zQhgEXacc</t>
  </si>
  <si>
    <t>barbara.nyirine1109@gmail.com</t>
  </si>
  <si>
    <t>user_2trWxd7QsgxLZUSWBlVoCQGKfXZ</t>
  </si>
  <si>
    <t>mka575seat@gmail.com</t>
  </si>
  <si>
    <t>user_2lpplh8mEOmb1HqpaZLUVVqW4B2</t>
  </si>
  <si>
    <t>baczurl@gmail.com</t>
  </si>
  <si>
    <t>user_2mNVvaQvgRNZSiJ1ulk4jDo3LAO</t>
  </si>
  <si>
    <t>etelios74@gmail.com</t>
  </si>
  <si>
    <t>user_32WDuWWvex5ztZIjpeJswaEILzb</t>
  </si>
  <si>
    <t>benji16g@gmail.com</t>
  </si>
  <si>
    <t>user_2n6ojmTNZO4kq6FWYAtTh1liecI</t>
  </si>
  <si>
    <t>v.betty58@gmail.com</t>
  </si>
  <si>
    <t>user_2trg3b6loSIjQ4ffm7zKfDQUTvC</t>
  </si>
  <si>
    <t>zajac.patryk.99@gmail.com</t>
  </si>
  <si>
    <t>user_2p88B3q5nLC6lnUx2Wr9PK7eU9M</t>
  </si>
  <si>
    <t>kupak321@gmail.com</t>
  </si>
  <si>
    <t>user_2vctBMjB5VPapU8gVolMNU8guEy</t>
  </si>
  <si>
    <t>simon.terez@gmail.com</t>
  </si>
  <si>
    <t>user_2lcJyIXFZ6U1qNaACaCktN7SOiP</t>
  </si>
  <si>
    <t>viktoriawerkman@gmail.com</t>
  </si>
  <si>
    <t>user_2vxTyRYkPnXTZtTGfrgQ7N4s5Eb</t>
  </si>
  <si>
    <t>renato21toth@gmail.com</t>
  </si>
  <si>
    <t>user_2lkKM82ONnkTT7G7CxPQZrWM7Vt</t>
  </si>
  <si>
    <t>vandrus.andrea@freemail.hu</t>
  </si>
  <si>
    <t>user_34WPrCHCo2e1bYC1f0pGRewwiJb</t>
  </si>
  <si>
    <t>panclean@fonyodmosoda.com</t>
  </si>
  <si>
    <t>2b4eee54-7743-4ff4-9bad-1dc292bdb1ae</t>
  </si>
  <si>
    <t>kutszegi@gmail.com</t>
  </si>
  <si>
    <t>user_2n6km5KYM8XZPSjndHOtAn3u6AK</t>
  </si>
  <si>
    <t>zsatoka@gmail.com</t>
  </si>
  <si>
    <t>user_2ziohLKipctNnwuXS5WOceIPdCw</t>
  </si>
  <si>
    <t>dori.tapai@gmail.com</t>
  </si>
  <si>
    <t>user_2lpltu7UD6NkGybq3mLUPDieopF</t>
  </si>
  <si>
    <t>z.b.zacher01@gmail.com</t>
  </si>
  <si>
    <t>user_2qI8zz9d1NfuvuV9E87raY0l7Iu</t>
  </si>
  <si>
    <t>istvan.borbely1979@gmail.com</t>
  </si>
  <si>
    <t>user_32Y1iiy4h5JC5aFJWuUrhQCrICr</t>
  </si>
  <si>
    <t>kuckonikol@gmail.com</t>
  </si>
  <si>
    <t>user_2k9XKwdHmvwKturonxNDD2bbk9g</t>
  </si>
  <si>
    <t>andras.sari68@gmail.com</t>
  </si>
  <si>
    <t>user_2tuGDC9LCFbk5lhCbW0QnD9Bwji</t>
  </si>
  <si>
    <t>szilardd9@gmail.com</t>
  </si>
  <si>
    <t>user_2tuM3AJke02dsgVXiMVCdAvi1cV</t>
  </si>
  <si>
    <t>homan.zsofi@gmail.com</t>
  </si>
  <si>
    <t>user_2xj0CHepRxkTCpeDYKTBycWFtM7</t>
  </si>
  <si>
    <t>bgeri85@gmail.com</t>
  </si>
  <si>
    <t>user_2qI3vBVsZasDeetghNWShUaG8Q3</t>
  </si>
  <si>
    <t>kovacstara88@gmail.com</t>
  </si>
  <si>
    <t>user_2zOqZHXYNXy1iJi4LlcBKVhQ9RN</t>
  </si>
  <si>
    <t>mtkkenu@gmail.com</t>
  </si>
  <si>
    <t>user_2l4RcwQQRWUi7cng2Hd9dLondBS</t>
  </si>
  <si>
    <t>luca650320@outlook.hu</t>
  </si>
  <si>
    <t>user_2vwJ6k2TjYFaLDfTnHnsekNKd33</t>
  </si>
  <si>
    <t>fodorandy0625@gmail.com</t>
  </si>
  <si>
    <t>user_32YsnQBYEWMVlkcSkewkj7QhiFz</t>
  </si>
  <si>
    <t>olajbanyasz@freemail.hu</t>
  </si>
  <si>
    <t>user_2xjIC41vMClW4Mie7v6x01sqYGS</t>
  </si>
  <si>
    <t>viktoriabujtor@gmail.com</t>
  </si>
  <si>
    <t>user_2xjLRLKgWRrEjDGnmPpKVfHqbsx</t>
  </si>
  <si>
    <t>attilakenderesi@gmail.com</t>
  </si>
  <si>
    <t>user_2tuVSQ4wqX3uSVHz7m3ajY2ZrGh</t>
  </si>
  <si>
    <t>dobakvasas@gmail.com</t>
  </si>
  <si>
    <t>3737ad44-8aa8-48a3-8c73-a6529a582a66</t>
  </si>
  <si>
    <t>anicsn@gmail.com</t>
  </si>
  <si>
    <t>user_2tufyxwxthgHf3mSKZhamfUGI0N</t>
  </si>
  <si>
    <t>gban4500@gmail.com</t>
  </si>
  <si>
    <t>user_2xjWXcFD4GjY4R73HfOEEXOh6z0</t>
  </si>
  <si>
    <t>gulyas1129@gmail.com</t>
  </si>
  <si>
    <t>user_2tv7QJGiS4faCklVoBhwv46E4Ea</t>
  </si>
  <si>
    <t>bbenyo6@gmail.com</t>
  </si>
  <si>
    <t>user_2xjdTCoYb0jzXnO2sezqFCcOiBz</t>
  </si>
  <si>
    <t>majorhome17@gmail.com</t>
  </si>
  <si>
    <t>user_2tviFvga4mBzx9YxeMc2CHHFEaI</t>
  </si>
  <si>
    <t>stanczel_marian90@yahoo.com</t>
  </si>
  <si>
    <t>user_2xjemb3NHeEtYjEfBtfSrhcwWEh</t>
  </si>
  <si>
    <t>berenyikataa@gmail.com</t>
  </si>
  <si>
    <t>user_2xjgXvHR14DnQTSWgguLQwR9Ppo</t>
  </si>
  <si>
    <t>misurak.mate@gmail.com</t>
  </si>
  <si>
    <t>user_2oF43wyVwOZmlRwRtRWXB9yfA4b</t>
  </si>
  <si>
    <t>clubimpacto@indamail.hu</t>
  </si>
  <si>
    <t>user_2lpGfUmU5FtujALvHOb8vZSrw8t</t>
  </si>
  <si>
    <t>l.veronika9171@gmail.com</t>
  </si>
  <si>
    <t>user_2oFGV5qaxZmoTVfuRZKGY07sV9u</t>
  </si>
  <si>
    <t>ancsanyi.norbert@gmail.com</t>
  </si>
  <si>
    <t>user_2mqy499A7I3Y4b3XF9fD3yXtYmn</t>
  </si>
  <si>
    <t>szlifkacsabane@gmail.com</t>
  </si>
  <si>
    <t>user_2vH6JSxGUxfQSHLTihUnNwGoM52</t>
  </si>
  <si>
    <t>pszeki74@gmail.com</t>
  </si>
  <si>
    <t>user_2zgpe419LRKdcmuk9N0SgRegMzh</t>
  </si>
  <si>
    <t>erikakenyeres@freemail.hu</t>
  </si>
  <si>
    <t>user_2oFRscHmKHbltVhiuv76bELJgWZ</t>
  </si>
  <si>
    <t>szakal1958@gmail.com</t>
  </si>
  <si>
    <t>user_2qFY54Ww6cZb4tj9aBtUM9zuSzh</t>
  </si>
  <si>
    <t>ropcsok@yahoo.com</t>
  </si>
  <si>
    <t>user_32dkLrLabCeVmBc7oNYWfAhx2kD</t>
  </si>
  <si>
    <t>paul.tamas.76@gmail.com</t>
  </si>
  <si>
    <t>user_2vH7wkCrlxxh43kgZCkWAaRD2SW</t>
  </si>
  <si>
    <t>divekirita@gmail.com</t>
  </si>
  <si>
    <t>user_32e8LUPQyRIsi3EgVjdoIBWd9XP</t>
  </si>
  <si>
    <t>adi.galambos@gmail.com</t>
  </si>
  <si>
    <t>user_2lTW1fBDV6jlKZak9FAmlgn4WeE</t>
  </si>
  <si>
    <t>kelemenszabolcs11@gmail.com</t>
  </si>
  <si>
    <t>user_2xlKO1s7gqUXgBUISJyN7HrNTxm</t>
  </si>
  <si>
    <t>melisdori@gmail.com</t>
  </si>
  <si>
    <t>user_2vHBVfLPt6hwAlD57MgAYuszSx3</t>
  </si>
  <si>
    <t>andrej.bartol@guest.arnes.si</t>
  </si>
  <si>
    <t>user_2txDpagATr1fPA5hR3nSlLxnTZj</t>
  </si>
  <si>
    <t>szabogyorgy968@gmail.com</t>
  </si>
  <si>
    <t>user_2oFiVOIbAWspGANShSPQN1cjUak</t>
  </si>
  <si>
    <t>ferencgangl@gmail.com</t>
  </si>
  <si>
    <t>user_2xlXIwnpinjC4jjdE08CM90uD9x</t>
  </si>
  <si>
    <t>g.sagi@freemail.hu</t>
  </si>
  <si>
    <t>user_2oFreLfRNxp2vh31byhf10LoKxX</t>
  </si>
  <si>
    <t>kriszmeszi2@gmail.com</t>
  </si>
  <si>
    <t>user_2liJ8px5auZfJvFTKx7vZh9ZbiK</t>
  </si>
  <si>
    <t>levig.gal@gmail.com</t>
  </si>
  <si>
    <t>user_32gT8Gz404HhIh4fDMNuJ2e0dT7</t>
  </si>
  <si>
    <t>borbely.peter84@gmail.com</t>
  </si>
  <si>
    <t>user_2zgTe5OMqiAwnWXlvB3ijIalA7p</t>
  </si>
  <si>
    <t>feherketeszt@gmail.com</t>
  </si>
  <si>
    <t>user_32gYqHXiUc4osKFwbCrGpjGdqZP</t>
  </si>
  <si>
    <t>szijjartone72@gmail.com</t>
  </si>
  <si>
    <t>user_32gZdOT8PaoDszS2g6ELX0s1J8p</t>
  </si>
  <si>
    <t>karoly.nemeth70@gmail.com</t>
  </si>
  <si>
    <t>user_32gfKS3gsRlsl9fWcnYCBJOhBof</t>
  </si>
  <si>
    <t>adrian.banyai@gmail.com</t>
  </si>
  <si>
    <t>user_2tysDR6Dz7yVchsp7z5MqjtKQ1w</t>
  </si>
  <si>
    <t>anita.robi@yahoo.com</t>
  </si>
  <si>
    <t>user_2pWHQWVoYQirnYnFnIMOkJO0VVk</t>
  </si>
  <si>
    <t>torok.laszlo8@gmail.com</t>
  </si>
  <si>
    <t>user_32gl0bfP1pYy3wZ4lu30zIYgRiD</t>
  </si>
  <si>
    <t>ragyanszki.agnes@gmail.com</t>
  </si>
  <si>
    <t>user_2zgPq9hxK5r0EcKrsKPQIblgHaR</t>
  </si>
  <si>
    <t>bartalosseron@gmail.com</t>
  </si>
  <si>
    <t>user_32h9zlUdkvZtUMLdwWYFDO8TuXL</t>
  </si>
  <si>
    <t>kriszkollar@gmail.com</t>
  </si>
  <si>
    <t>user_2xlih8KufPBpEvuVR9OY0JPUKBF</t>
  </si>
  <si>
    <t>veisengruber.kitti98@gmail.com</t>
  </si>
  <si>
    <t>user_2yufvQOGt6eVL5rMrcnFkz9DsBw</t>
  </si>
  <si>
    <t>stuberm01@gmail.com</t>
  </si>
  <si>
    <t>user_2vHGPP0rYXwJSrXD3NDHoyW8ci7</t>
  </si>
  <si>
    <t>biggabi@yahoo.com</t>
  </si>
  <si>
    <t>user_32hTfbcgQgncjPQNKQM74BospKj</t>
  </si>
  <si>
    <t>szaszta70@gmail.com</t>
  </si>
  <si>
    <t>f05bed56-a1f5-4db9-95d1-af2c6e945bcc</t>
  </si>
  <si>
    <t>posanjanosdr@gmail.com</t>
  </si>
  <si>
    <t>user_2u1SiGQCbshBgEb4eXzMPjL9w8W</t>
  </si>
  <si>
    <t>tiborbukta33@gmail.com</t>
  </si>
  <si>
    <t>user_2xlvG7LnyQ9AcBv4rD17oyHsYrn</t>
  </si>
  <si>
    <t>szelaci23@gmail.com</t>
  </si>
  <si>
    <t>user_2pTdLpCvE6HnQXYXArGMnZczxOC</t>
  </si>
  <si>
    <t>tarjanyi.patricia@gmail.com</t>
  </si>
  <si>
    <t>user_32hdpkTqHcVdEyc9FiplfLZNa4U</t>
  </si>
  <si>
    <t>gombosbea.sebastiano@gmail.com</t>
  </si>
  <si>
    <t>user_32ip6qq38K2UFBE09KLCoHWnN5y</t>
  </si>
  <si>
    <t>g.boronyak@gmail.com</t>
  </si>
  <si>
    <t>user_2oHfG0XWKcleZ4fggYEA6ZPdJrB</t>
  </si>
  <si>
    <t>bolcsikedina@gmail.com</t>
  </si>
  <si>
    <t>user_2vus1lzbM3dL1xLizeR3uDZjFGU</t>
  </si>
  <si>
    <t>zoolinet@gmail.com</t>
  </si>
  <si>
    <t>user_2u1rAWMvy0dZ25QnrIARn3fy6hU</t>
  </si>
  <si>
    <t>teiszlerzsolt23@gmail.com</t>
  </si>
  <si>
    <t>user_32j8hDnC4ZY1JYkLvypTsgNHAZk</t>
  </si>
  <si>
    <t>laura.petri93@gmail.com</t>
  </si>
  <si>
    <t>user_32j9BSv23uqqlKf2sEbHlwkxva6</t>
  </si>
  <si>
    <t>t.laci1987@gmail.com</t>
  </si>
  <si>
    <t>user_2zDrWDGr99MkdPjBPdFf1U3WJ9x</t>
  </si>
  <si>
    <t>bendeagy@gmail.com</t>
  </si>
  <si>
    <t>user_2u2chZMMXbuSJb6lNnMAR6oRuGh</t>
  </si>
  <si>
    <t>andrea.h.sz05@gmail.com</t>
  </si>
  <si>
    <t>user_2mQ7vAaEXxhw0JdgOkujHm6O3HG</t>
  </si>
  <si>
    <t>enoraracz@gmail.com</t>
  </si>
  <si>
    <t>user_2yuqS0rrZ5t7bQUCM67A9ssALQx</t>
  </si>
  <si>
    <t>aron8176@gmail.com</t>
  </si>
  <si>
    <t>user_2vufAxxNwlOonb7ZzoS7hIgzBkM</t>
  </si>
  <si>
    <t>branko.cvetkovic@gmail.com</t>
  </si>
  <si>
    <t>user_2zftkLNDu0IWOZKgKU3JUw0PF5J</t>
  </si>
  <si>
    <t>petike0802@gmail.com</t>
  </si>
  <si>
    <t>55b73361-0085-4b33-a7a0-805ee34a04e5</t>
  </si>
  <si>
    <t>jellmann.edina@gmail.com</t>
  </si>
  <si>
    <t>user_2yut4U8p455SnLlc6GGlvo53JXZ</t>
  </si>
  <si>
    <t>hordoserno@gmail.com</t>
  </si>
  <si>
    <t>user_2qApuMvUj8hYcJpc6tIfS4ZMXlq</t>
  </si>
  <si>
    <t>nemet.mihaly21@gmail.com</t>
  </si>
  <si>
    <t>user_2u4QNuaZu46htTEdgqC6v5X07Z5</t>
  </si>
  <si>
    <t>albertrobert01@gmail.com</t>
  </si>
  <si>
    <t>user_2oI7MEg3RTTzNoy6g29sKnTWAUc</t>
  </si>
  <si>
    <t>joy3@freemail.hu</t>
  </si>
  <si>
    <t>user_2mQArK70LiYwIia1uGFf7qBnpiU</t>
  </si>
  <si>
    <t>petertvura@gmail.com</t>
  </si>
  <si>
    <t>1b226b56-9f47-4cbd-8f26-4de4e48280f4</t>
  </si>
  <si>
    <t>info@generalmobile.hu</t>
  </si>
  <si>
    <t>user_2zeWv7P9P1YZN2nfiVJX31GJpR7</t>
  </si>
  <si>
    <t>alfoldibalazs20@gmail.com</t>
  </si>
  <si>
    <t>user_2vtrxVfyfzj2bgPtRIbeXiikk2p</t>
  </si>
  <si>
    <t>roli.hadina@gmail.com</t>
  </si>
  <si>
    <t>user_2q82V8ssvSlZx1blSnF4heynSjg</t>
  </si>
  <si>
    <t>d.koszegi.szilvia@gmail.com</t>
  </si>
  <si>
    <t>user_2vRFgQ5A1ZRGrq4JsgpgiMzEngc</t>
  </si>
  <si>
    <t>ari.forno360@gmail.com</t>
  </si>
  <si>
    <t>user_2vtiED5b744LbzuB5GV8GvvAz7s</t>
  </si>
  <si>
    <t>szimion.janos@gmail.com</t>
  </si>
  <si>
    <t>user_2xoIOILJZv6yObXY2SobvNe0zEZ</t>
  </si>
  <si>
    <t>hodav93@gmail.com</t>
  </si>
  <si>
    <t>user_32m1ZQDl3ElxZyGpozX1h0xPisS</t>
  </si>
  <si>
    <t>daveoff@gmail.com</t>
  </si>
  <si>
    <t>user_2yuv6MQHqV8ch1RlTSi36jDK3pm</t>
  </si>
  <si>
    <t>kp@funkcio.hu</t>
  </si>
  <si>
    <t>user_2xodNUPhjI9ZMgQaNLnu1sv9Rfb</t>
  </si>
  <si>
    <t>vitek_any@freemail.hu</t>
  </si>
  <si>
    <t>user_2lpCGaWxh0QwdLFq4fbyGa0KQ5I</t>
  </si>
  <si>
    <t>live.fekete@gmail.com</t>
  </si>
  <si>
    <t>user_32mV9Vr7LcX0LdPOWlnebVzLReg</t>
  </si>
  <si>
    <t>petermunkacsi@gmail.com</t>
  </si>
  <si>
    <t>user_2u5hlBAl6GXEwodvL2r0TfEPbhn</t>
  </si>
  <si>
    <t>j.suranyi@hajtomu.hu</t>
  </si>
  <si>
    <t>user_2u5hm4JSySUT25v6SodFEHsQku0</t>
  </si>
  <si>
    <t>eva.fodroczy66@gmail.com</t>
  </si>
  <si>
    <t>user_2u5jVT8CauT0ErwwpMxg8Ryp1br</t>
  </si>
  <si>
    <t>kazandog12@gmail.com</t>
  </si>
  <si>
    <t>user_2n6GCCm3cuKB4mjUpEjINdNDuKl</t>
  </si>
  <si>
    <t>cili.rako@gmail.com</t>
  </si>
  <si>
    <t>user_2vHdjeXZi0B4WVbLvUjdF46BcD7</t>
  </si>
  <si>
    <t>palczi3@gmail.com</t>
  </si>
  <si>
    <t>user_2mQfz6bcESrt0EEe2ZbjAibPVi8</t>
  </si>
  <si>
    <t>kapusid23@gmail.com</t>
  </si>
  <si>
    <t>user_34ZTCZHOKEIh4jIsAErl0soEqZP</t>
  </si>
  <si>
    <t>david.katicaa@gmail.com</t>
  </si>
  <si>
    <t>user_32n9x0TsJYIPZpVqEKzD3cU0nwA</t>
  </si>
  <si>
    <t>ozeattila@gmail.com</t>
  </si>
  <si>
    <t>9f29746b-9941-4491-87f9-0bcf8927fd60</t>
  </si>
  <si>
    <t>gyulat05@gmail.com</t>
  </si>
  <si>
    <t>user_2vtblvGOeKd9Ib9PzSm0epgM3ZR</t>
  </si>
  <si>
    <t>gems.ametist@gmail.com</t>
  </si>
  <si>
    <t>user_2mQp6nSV5pT49jpts7irC9BA9XF</t>
  </si>
  <si>
    <t>kinga_orban@yahoo.com</t>
  </si>
  <si>
    <t>user_32oVcGdvHnP4qcPkv6AdQooYVDg</t>
  </si>
  <si>
    <t>gardos.zsombor@gmail.com</t>
  </si>
  <si>
    <t>user_2q2NvMDRcRa0HgBeO6bHsNwYh3b</t>
  </si>
  <si>
    <t>robert.kurucz@gmail.com</t>
  </si>
  <si>
    <t>user_2pQqdX0t9UVN8jolXj9uSe3ROP5</t>
  </si>
  <si>
    <t>babikpeter9@gmail.com</t>
  </si>
  <si>
    <t>user_32ogm5VrCCEQWmgsTXJ0pbEG35l</t>
  </si>
  <si>
    <t>sipos.szandra@gmail.com</t>
  </si>
  <si>
    <t>user_2mQuvZDFOeUj3zzUCCJf0z7sVtN</t>
  </si>
  <si>
    <t>anidpls@gmail.com</t>
  </si>
  <si>
    <t>user_2vTanCZ5AwCRpy3HfaVFFNmNWXp</t>
  </si>
  <si>
    <t>gergely.benedek7@gmail.com</t>
  </si>
  <si>
    <t>user_2vtR0cdXpdaVlS1mO8pJXugXTD6</t>
  </si>
  <si>
    <t>tamas.magoss68@gmail.com</t>
  </si>
  <si>
    <t>user_2u806vFAk8tmbo4leufWwO5oU5y</t>
  </si>
  <si>
    <t>bigpisti@gmail.com</t>
  </si>
  <si>
    <t>user_2oLEc0edsym4xhqrxeEm8FdOBGg</t>
  </si>
  <si>
    <t>gabiszolarium@gmail.com</t>
  </si>
  <si>
    <t>user_2q1hvpSsvkY3kuEOgMj1YBxUFmC</t>
  </si>
  <si>
    <t>albertzalan1984@gmail.com</t>
  </si>
  <si>
    <t>user_32pG31AK6dwqpF8oAfkjY8zKFDn</t>
  </si>
  <si>
    <t>szabozsolt0825@gmail.com</t>
  </si>
  <si>
    <t>user_2xr6XgH9rpKwgpz2rxk0n3YmW4z</t>
  </si>
  <si>
    <t>kubucsabi78@gmail.com</t>
  </si>
  <si>
    <t>user_2kPx8iEe3pGVsTUqM8cwzRmF2BV</t>
  </si>
  <si>
    <t>nemethattila65@citromail.hu</t>
  </si>
  <si>
    <t>user_2xr8rZpXLwndcCGLQ1oMzw49N0Z</t>
  </si>
  <si>
    <t>renato.kope@gmail.com</t>
  </si>
  <si>
    <t>user_32pVE6Awm2rPwb2Pe8SaxakgNdb</t>
  </si>
  <si>
    <t>mephisto6@freemail.hu</t>
  </si>
  <si>
    <t>bd38ecb2-ac5c-49fc-8286-3022ad9a5496</t>
  </si>
  <si>
    <t>info@becsiirodaker.hu</t>
  </si>
  <si>
    <t>user_32pkL9Mhdeulp8hYZZPs4z8nm9B</t>
  </si>
  <si>
    <t>bankszilvi@gmail.com</t>
  </si>
  <si>
    <t>user_32q4fs61bcnBwRAvnPytYsDcEhu</t>
  </si>
  <si>
    <t>doszpothdora@gmail.com</t>
  </si>
  <si>
    <t>user_2xrG7dukdGbrnuVNqNsNjGSsvHq</t>
  </si>
  <si>
    <t>lacitoth1984@gmail.com</t>
  </si>
  <si>
    <t>user_2pAMYXwdxlztZU6SEvzzzjV1IIT</t>
  </si>
  <si>
    <t>gyetvaipeter0630@gmail.com</t>
  </si>
  <si>
    <t>user_2oLq31fXAkAmh9isYfQx3pJZvbD</t>
  </si>
  <si>
    <t>david.molnar04@gmail.com</t>
  </si>
  <si>
    <t>user_2xrSXWAbC7vQ5wupwVsTpKxdWJP</t>
  </si>
  <si>
    <t>molnar.lilla987@gmail.com</t>
  </si>
  <si>
    <t>user_2ze8xt0cfcTIIUuu2pefQwBzzSl</t>
  </si>
  <si>
    <t>skrisz96@gmail.com</t>
  </si>
  <si>
    <t>user_2xrUJu2AStU1jNpdoNGpXdMFlle</t>
  </si>
  <si>
    <t>sandor4185@gmail.com</t>
  </si>
  <si>
    <t>user_2vtNat8pntkL7rer7KuHo6PQ62P</t>
  </si>
  <si>
    <t>z.fabianmail@gmail.com</t>
  </si>
  <si>
    <t>user_2mR696E96Bay0bQDRgj0KYDGJTz</t>
  </si>
  <si>
    <t>ruppertandi@freemail.hu</t>
  </si>
  <si>
    <t>user_2xrYsaeYixYvwUcQrdhc2ZJku4d</t>
  </si>
  <si>
    <t>petho.balazs94@gmail.com</t>
  </si>
  <si>
    <t>user_2mtMc0SFQu6r4yVHsLTg6jpCxbH</t>
  </si>
  <si>
    <t>brv.adam@gmail.com</t>
  </si>
  <si>
    <t>user_2q0z0pwk3TB1lvtp898vPPikb7K</t>
  </si>
  <si>
    <t>apolka@apolka.hu</t>
  </si>
  <si>
    <t>user_2u8hZICldzy5sL2Cy0mM4fhW1UF</t>
  </si>
  <si>
    <t>dobermannkolyok@gmail.com</t>
  </si>
  <si>
    <t>user_2l1M8m0yKCeTZrEnLwWsrgboCPF</t>
  </si>
  <si>
    <t>mogyi1973@gmail.com</t>
  </si>
  <si>
    <t>user_32sMEQpD4ttLvy6ozxCwL4Y9kDp</t>
  </si>
  <si>
    <t>dragabetti1980@gmail.com</t>
  </si>
  <si>
    <t>user_2vciX3isnCmH3JAbeYcT0ryI26n</t>
  </si>
  <si>
    <t>dorinarethati@gmail.com</t>
  </si>
  <si>
    <t>user_2u9spZ6PVFQiAFhvAB5ME9myJIe</t>
  </si>
  <si>
    <t>szandra.kovacs1987@gmail.com</t>
  </si>
  <si>
    <t>user_2xs01I41KT86v3IK44r6h08fS0J</t>
  </si>
  <si>
    <t>csikosannamaria30@gmail.com</t>
  </si>
  <si>
    <t>user_2xs0Y534qf9x50M8gGubpHBloMH</t>
  </si>
  <si>
    <t>voroskoalja@gmail.com</t>
  </si>
  <si>
    <t>user_2uA3BXllThgOAe3XrPftEAgg4W0</t>
  </si>
  <si>
    <t>szarvastibor65@gmail.com</t>
  </si>
  <si>
    <t>user_34bUja6io9Yo4z4sVpwnMVokKvy</t>
  </si>
  <si>
    <t>milejip@gmail.com</t>
  </si>
  <si>
    <t>user_2uA6KCwozUdL1hzz2hFizwFuowa</t>
  </si>
  <si>
    <t>harald.habenberger@hotmail.com</t>
  </si>
  <si>
    <t>user_2vIv1tJ2a8hm6r5cKxMAMZePRWA</t>
  </si>
  <si>
    <t>fanniinyiri@gmail.com</t>
  </si>
  <si>
    <t>user_2uAHs1l9GGxToFI88GMjDe91XZM</t>
  </si>
  <si>
    <t>t.geri1981@gmail.com</t>
  </si>
  <si>
    <t>user_2xsC3mMLwZXvTrpyjYDP2ovtgf6</t>
  </si>
  <si>
    <t>cserodi.adam1@gmail.com</t>
  </si>
  <si>
    <t>user_2uAdk50Sif9eCX8y1etqcUU8pgy</t>
  </si>
  <si>
    <t>femkovacs49@gmail.com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</si>
</sst>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b/>
      <color theme="1"/>
      <name val="Arial"/>
      <scheme val="minor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readingOrder="0" vertical="top"/>
    </xf>
    <xf borderId="1" fillId="2" fontId="2" numFmtId="1" xfId="0" applyAlignment="1" applyBorder="1" applyFont="1" applyNumberFormat="1">
      <alignment readingOrder="0" vertical="top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4" numFmtId="1" xfId="0" applyAlignment="1" applyBorder="1" applyFont="1" applyNumberFormat="1">
      <alignment readingOrder="0" vertical="top"/>
    </xf>
    <xf borderId="0" fillId="0" fontId="1" numFmtId="1" xfId="0" applyFont="1" applyNumberFormat="1"/>
    <xf borderId="1" fillId="3" fontId="4" numFmtId="164" xfId="0" applyAlignment="1" applyBorder="1" applyFont="1" applyNumberFormat="1">
      <alignment readingOrder="0" vertical="top"/>
    </xf>
    <xf borderId="0" fillId="0" fontId="3" numFmtId="0" xfId="0" applyFon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'Szolgáltatás'!$A$3:$A$6</c:f>
            </c:strRef>
          </c:cat>
          <c:val>
            <c:numRef>
              <c:f>'Szolgáltatás'!$B$3:$B$6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877799479166659"/>
          <c:y val="0.05052935514918191"/>
          <c:w val="0.8503053385416668"/>
          <c:h val="0.8739172281039461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'Szolgáltatás bevétel  nap'!$A$2:$A$990</c:f>
            </c:strRef>
          </c:cat>
          <c:val>
            <c:numRef>
              <c:f>'Szolgáltatás bevétel  nap'!$B$2:$B$990</c:f>
              <c:numCache/>
            </c:numRef>
          </c:val>
        </c:ser>
        <c:overlap val="100"/>
        <c:axId val="1799018762"/>
        <c:axId val="1606320994"/>
      </c:barChart>
      <c:lineChart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39"/>
            <c:marker>
              <c:symbol val="none"/>
            </c:marker>
          </c:dPt>
          <c:cat>
            <c:strRef>
              <c:f>'Szolgáltatás bevétel  nap'!$A$2:$A$990</c:f>
            </c:strRef>
          </c:cat>
          <c:val>
            <c:numRef>
              <c:f>'Szolgáltatás bevétel  nap'!$C$2:$C$990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'Szolgáltatás bevétel  nap'!$A$2:$A$990</c:f>
            </c:strRef>
          </c:cat>
          <c:val>
            <c:numRef>
              <c:f>'Szolgáltatás bevétel  nap'!$D$2:$D$990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'Szolgáltatás bevétel  nap'!$A$2:$A$990</c:f>
            </c:strRef>
          </c:cat>
          <c:val>
            <c:numRef>
              <c:f>'Szolgáltatás bevétel  nap'!$E$2:$E$990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'Szolgáltatás bevétel  nap'!$A$2:$A$990</c:f>
            </c:strRef>
          </c:cat>
          <c:val>
            <c:numRef>
              <c:f>'Szolgáltatás bevétel  nap'!$F$2:$F$990</c:f>
              <c:numCache/>
            </c:numRef>
          </c:val>
          <c:smooth val="1"/>
        </c:ser>
        <c:axId val="1799018762"/>
        <c:axId val="1606320994"/>
      </c:lineChart>
      <c:catAx>
        <c:axId val="1799018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320994"/>
      </c:catAx>
      <c:valAx>
        <c:axId val="160632099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018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2</xdr:row>
      <xdr:rowOff>171450</xdr:rowOff>
    </xdr:from>
    <xdr:ext cx="5715000" cy="6353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45536.0</v>
      </c>
      <c r="B2" s="1">
        <v>3.0</v>
      </c>
      <c r="C2" s="1">
        <v>17100.0</v>
      </c>
      <c r="D2" s="1">
        <v>3.0</v>
      </c>
      <c r="E2" s="1">
        <v>177.0</v>
      </c>
    </row>
    <row r="3">
      <c r="A3" s="2">
        <v>45537.0</v>
      </c>
      <c r="B3" s="1">
        <v>16.0</v>
      </c>
      <c r="C3" s="1">
        <v>78500.0</v>
      </c>
      <c r="D3" s="1">
        <v>19.0</v>
      </c>
      <c r="E3" s="1">
        <v>177.0</v>
      </c>
    </row>
    <row r="4">
      <c r="A4" s="2">
        <v>45538.0</v>
      </c>
      <c r="B4" s="1">
        <v>39.0</v>
      </c>
      <c r="C4" s="1">
        <v>154900.0</v>
      </c>
      <c r="D4" s="1">
        <v>25.0</v>
      </c>
      <c r="E4" s="1">
        <v>177.0</v>
      </c>
    </row>
    <row r="5">
      <c r="A5" s="2">
        <v>45539.0</v>
      </c>
      <c r="B5" s="1">
        <v>58.0</v>
      </c>
      <c r="C5" s="1">
        <v>81600.0</v>
      </c>
      <c r="D5" s="1">
        <v>16.0</v>
      </c>
      <c r="E5" s="1">
        <v>177.0</v>
      </c>
    </row>
    <row r="6">
      <c r="A6" s="2">
        <v>45540.0</v>
      </c>
      <c r="B6" s="1">
        <v>73.0</v>
      </c>
      <c r="C6" s="1">
        <v>90600.0</v>
      </c>
      <c r="D6" s="1">
        <v>15.0</v>
      </c>
      <c r="E6" s="1">
        <v>177.0</v>
      </c>
    </row>
    <row r="7">
      <c r="A7" s="2">
        <v>45541.0</v>
      </c>
      <c r="B7" s="1">
        <v>94.0</v>
      </c>
      <c r="C7" s="1">
        <v>116500.0</v>
      </c>
      <c r="D7" s="1">
        <v>20.0</v>
      </c>
      <c r="E7" s="1">
        <v>177.0</v>
      </c>
    </row>
    <row r="8">
      <c r="A8" s="2">
        <v>45542.0</v>
      </c>
      <c r="B8" s="1">
        <v>113.0</v>
      </c>
      <c r="C8" s="1">
        <v>181600.0</v>
      </c>
      <c r="D8" s="1">
        <v>24.0</v>
      </c>
      <c r="E8" s="1">
        <v>177.0</v>
      </c>
    </row>
    <row r="9">
      <c r="A9" s="2">
        <v>45543.0</v>
      </c>
      <c r="B9" s="1">
        <v>128.0</v>
      </c>
      <c r="C9" s="1">
        <v>142300.0</v>
      </c>
      <c r="D9" s="1">
        <v>20.0</v>
      </c>
      <c r="E9" s="1">
        <v>177.0</v>
      </c>
    </row>
    <row r="10">
      <c r="A10" s="2">
        <v>45544.0</v>
      </c>
      <c r="B10" s="1">
        <v>139.0</v>
      </c>
      <c r="C10" s="1">
        <v>152900.0</v>
      </c>
      <c r="D10" s="1">
        <v>20.0</v>
      </c>
      <c r="E10" s="1">
        <v>177.0</v>
      </c>
    </row>
    <row r="11">
      <c r="A11" s="2">
        <v>45545.0</v>
      </c>
      <c r="B11" s="1">
        <v>137.0</v>
      </c>
      <c r="C11" s="1">
        <v>185100.0</v>
      </c>
      <c r="D11" s="1">
        <v>20.0</v>
      </c>
      <c r="E11" s="1">
        <v>177.0</v>
      </c>
    </row>
    <row r="12">
      <c r="A12" s="2">
        <v>45546.0</v>
      </c>
      <c r="B12" s="1">
        <v>144.0</v>
      </c>
      <c r="C12" s="1">
        <v>162600.0</v>
      </c>
      <c r="D12" s="1">
        <v>21.0</v>
      </c>
      <c r="E12" s="1">
        <v>177.0</v>
      </c>
    </row>
    <row r="13">
      <c r="A13" s="2">
        <v>45547.0</v>
      </c>
      <c r="B13" s="1">
        <v>154.0</v>
      </c>
      <c r="C13" s="1">
        <v>250900.0</v>
      </c>
      <c r="D13" s="1">
        <v>29.0</v>
      </c>
      <c r="E13" s="1">
        <v>177.0</v>
      </c>
    </row>
    <row r="14">
      <c r="A14" s="2">
        <v>45548.0</v>
      </c>
      <c r="B14" s="1">
        <v>156.0</v>
      </c>
      <c r="C14" s="1">
        <v>138400.0</v>
      </c>
      <c r="D14" s="1">
        <v>20.0</v>
      </c>
      <c r="E14" s="1">
        <v>177.0</v>
      </c>
    </row>
    <row r="15">
      <c r="A15" s="2">
        <v>45549.0</v>
      </c>
      <c r="B15" s="1">
        <v>174.0</v>
      </c>
      <c r="C15" s="1">
        <v>232300.0</v>
      </c>
      <c r="D15" s="1">
        <v>25.0</v>
      </c>
      <c r="E15" s="1">
        <v>177.0</v>
      </c>
    </row>
    <row r="16">
      <c r="A16" s="2">
        <v>45550.0</v>
      </c>
      <c r="B16" s="1">
        <v>179.0</v>
      </c>
      <c r="C16" s="1">
        <v>165800.0</v>
      </c>
      <c r="D16" s="1">
        <v>19.0</v>
      </c>
      <c r="E16" s="1">
        <v>177.0</v>
      </c>
    </row>
    <row r="17">
      <c r="A17" s="2">
        <v>45551.0</v>
      </c>
      <c r="B17" s="1">
        <v>176.0</v>
      </c>
      <c r="C17" s="1">
        <v>218600.0</v>
      </c>
      <c r="D17" s="1">
        <v>25.0</v>
      </c>
      <c r="E17" s="1">
        <v>177.0</v>
      </c>
    </row>
    <row r="18">
      <c r="A18" s="2">
        <v>45552.0</v>
      </c>
      <c r="B18" s="1">
        <v>169.0</v>
      </c>
      <c r="C18" s="1">
        <v>139900.0</v>
      </c>
      <c r="D18" s="1">
        <v>17.0</v>
      </c>
      <c r="E18" s="1">
        <v>177.0</v>
      </c>
    </row>
    <row r="19">
      <c r="A19" s="2">
        <v>45553.0</v>
      </c>
      <c r="B19" s="1">
        <v>169.0</v>
      </c>
      <c r="C19" s="1">
        <v>220500.0</v>
      </c>
      <c r="D19" s="1">
        <v>24.0</v>
      </c>
      <c r="E19" s="1">
        <v>177.0</v>
      </c>
    </row>
    <row r="20">
      <c r="A20" s="2">
        <v>45554.0</v>
      </c>
      <c r="B20" s="1">
        <v>171.0</v>
      </c>
      <c r="C20" s="1">
        <v>224000.0</v>
      </c>
      <c r="D20" s="1">
        <v>28.0</v>
      </c>
      <c r="E20" s="1">
        <v>177.0</v>
      </c>
    </row>
    <row r="21">
      <c r="A21" s="2">
        <v>45555.0</v>
      </c>
      <c r="B21" s="1">
        <v>169.0</v>
      </c>
      <c r="C21" s="1">
        <v>162900.0</v>
      </c>
      <c r="D21" s="1">
        <v>23.0</v>
      </c>
      <c r="E21" s="1">
        <v>177.0</v>
      </c>
    </row>
    <row r="22">
      <c r="A22" s="2">
        <v>45556.0</v>
      </c>
      <c r="B22" s="1">
        <v>179.0</v>
      </c>
      <c r="C22" s="1">
        <v>280200.0</v>
      </c>
      <c r="D22" s="1">
        <v>31.0</v>
      </c>
      <c r="E22" s="1">
        <v>177.0</v>
      </c>
    </row>
    <row r="23">
      <c r="A23" s="2">
        <v>45557.0</v>
      </c>
      <c r="B23" s="1">
        <v>172.0</v>
      </c>
      <c r="C23" s="1">
        <v>265200.0</v>
      </c>
      <c r="D23" s="1">
        <v>29.0</v>
      </c>
      <c r="E23" s="1">
        <v>177.0</v>
      </c>
    </row>
    <row r="24">
      <c r="A24" s="2">
        <v>45558.0</v>
      </c>
      <c r="B24" s="1">
        <v>166.0</v>
      </c>
      <c r="C24" s="1">
        <v>169900.0</v>
      </c>
      <c r="D24" s="1">
        <v>20.0</v>
      </c>
      <c r="E24" s="1">
        <v>177.0</v>
      </c>
    </row>
    <row r="25">
      <c r="A25" s="2">
        <v>45559.0</v>
      </c>
      <c r="B25" s="1">
        <v>176.0</v>
      </c>
      <c r="C25" s="1">
        <v>290100.0</v>
      </c>
      <c r="D25" s="1">
        <v>35.0</v>
      </c>
      <c r="E25" s="1">
        <v>177.0</v>
      </c>
    </row>
    <row r="26">
      <c r="A26" s="2">
        <v>45560.0</v>
      </c>
      <c r="B26" s="1">
        <v>181.0</v>
      </c>
      <c r="C26" s="1">
        <v>197000.0</v>
      </c>
      <c r="D26" s="1">
        <v>22.0</v>
      </c>
      <c r="E26" s="1">
        <v>177.0</v>
      </c>
    </row>
    <row r="27">
      <c r="A27" s="2">
        <v>45561.0</v>
      </c>
      <c r="B27" s="1">
        <v>168.0</v>
      </c>
      <c r="C27" s="1">
        <v>111800.0</v>
      </c>
      <c r="D27" s="1">
        <v>13.0</v>
      </c>
      <c r="E27" s="1">
        <v>177.0</v>
      </c>
    </row>
    <row r="28">
      <c r="A28" s="2">
        <v>45562.0</v>
      </c>
      <c r="B28" s="1">
        <v>169.0</v>
      </c>
      <c r="C28" s="1">
        <v>171400.0</v>
      </c>
      <c r="D28" s="1">
        <v>21.0</v>
      </c>
      <c r="E28" s="1">
        <v>177.0</v>
      </c>
    </row>
    <row r="29">
      <c r="A29" s="2">
        <v>45563.0</v>
      </c>
      <c r="B29" s="1">
        <v>179.0</v>
      </c>
      <c r="C29" s="1">
        <v>309700.0</v>
      </c>
      <c r="D29" s="1">
        <v>35.0</v>
      </c>
      <c r="E29" s="1">
        <v>177.0</v>
      </c>
    </row>
    <row r="30">
      <c r="A30" s="2">
        <v>45564.0</v>
      </c>
      <c r="B30" s="1">
        <v>168.0</v>
      </c>
      <c r="C30" s="1">
        <v>184600.0</v>
      </c>
      <c r="D30" s="1">
        <v>20.0</v>
      </c>
      <c r="E30" s="1">
        <v>177.0</v>
      </c>
    </row>
    <row r="31">
      <c r="A31" s="2">
        <v>45565.0</v>
      </c>
      <c r="B31" s="1">
        <v>155.0</v>
      </c>
      <c r="C31" s="1">
        <v>137000.0</v>
      </c>
      <c r="D31" s="1">
        <v>15.0</v>
      </c>
      <c r="E31" s="1">
        <v>177.0</v>
      </c>
    </row>
    <row r="32">
      <c r="A32" s="2">
        <v>45566.0</v>
      </c>
      <c r="B32" s="1">
        <v>149.0</v>
      </c>
      <c r="C32" s="1">
        <v>168900.0</v>
      </c>
      <c r="D32" s="1">
        <v>18.0</v>
      </c>
      <c r="E32" s="1">
        <v>177.0</v>
      </c>
    </row>
    <row r="33">
      <c r="A33" s="2">
        <v>45567.0</v>
      </c>
      <c r="B33" s="1">
        <v>147.0</v>
      </c>
      <c r="C33" s="1">
        <v>227700.0</v>
      </c>
      <c r="D33" s="1">
        <v>25.0</v>
      </c>
      <c r="E33" s="1">
        <v>177.0</v>
      </c>
    </row>
    <row r="34">
      <c r="A34" s="2">
        <v>45568.0</v>
      </c>
      <c r="B34" s="1">
        <v>146.0</v>
      </c>
      <c r="C34" s="1">
        <v>238700.0</v>
      </c>
      <c r="D34" s="1">
        <v>30.0</v>
      </c>
      <c r="E34" s="1">
        <v>177.0</v>
      </c>
    </row>
    <row r="35">
      <c r="A35" s="2">
        <v>45569.0</v>
      </c>
      <c r="B35" s="1">
        <v>151.0</v>
      </c>
      <c r="C35" s="1">
        <v>203900.0</v>
      </c>
      <c r="D35" s="1">
        <v>25.0</v>
      </c>
      <c r="E35" s="1">
        <v>177.0</v>
      </c>
    </row>
    <row r="36">
      <c r="A36" s="2">
        <v>45570.0</v>
      </c>
      <c r="B36" s="1">
        <v>155.0</v>
      </c>
      <c r="C36" s="1">
        <v>137500.0</v>
      </c>
      <c r="D36" s="1">
        <v>20.0</v>
      </c>
      <c r="E36" s="1">
        <v>177.0</v>
      </c>
    </row>
    <row r="37">
      <c r="A37" s="2">
        <v>45571.0</v>
      </c>
      <c r="B37" s="1">
        <v>142.0</v>
      </c>
      <c r="C37" s="1">
        <v>140900.0</v>
      </c>
      <c r="D37" s="1">
        <v>14.0</v>
      </c>
      <c r="E37" s="1">
        <v>177.0</v>
      </c>
    </row>
    <row r="38">
      <c r="A38" s="2">
        <v>45572.0</v>
      </c>
      <c r="B38" s="1">
        <v>122.0</v>
      </c>
      <c r="C38" s="1">
        <v>67400.0</v>
      </c>
      <c r="D38" s="1">
        <v>9.0</v>
      </c>
      <c r="E38" s="1">
        <v>177.0</v>
      </c>
    </row>
    <row r="39">
      <c r="A39" s="2">
        <v>45573.0</v>
      </c>
      <c r="B39" s="1">
        <v>103.0</v>
      </c>
      <c r="C39" s="1">
        <v>101400.0</v>
      </c>
      <c r="D39" s="1">
        <v>11.0</v>
      </c>
      <c r="E39" s="1">
        <v>177.0</v>
      </c>
    </row>
    <row r="40">
      <c r="A40" s="2">
        <v>45574.0</v>
      </c>
      <c r="B40" s="1">
        <v>109.0</v>
      </c>
      <c r="C40" s="1">
        <v>220100.0</v>
      </c>
      <c r="D40" s="1">
        <v>23.0</v>
      </c>
      <c r="E40" s="1">
        <v>177.0</v>
      </c>
    </row>
    <row r="41">
      <c r="A41" s="2">
        <v>45575.0</v>
      </c>
      <c r="B41" s="1">
        <v>109.0</v>
      </c>
      <c r="C41" s="1">
        <v>187500.0</v>
      </c>
      <c r="D41" s="1">
        <v>22.0</v>
      </c>
      <c r="E41" s="1">
        <v>177.0</v>
      </c>
    </row>
    <row r="42">
      <c r="A42" s="2">
        <v>45576.0</v>
      </c>
      <c r="B42" s="1">
        <v>125.0</v>
      </c>
      <c r="C42" s="1">
        <v>309600.0</v>
      </c>
      <c r="D42" s="1">
        <v>33.0</v>
      </c>
      <c r="E42" s="1">
        <v>177.0</v>
      </c>
    </row>
    <row r="43">
      <c r="A43" s="2">
        <v>45577.0</v>
      </c>
      <c r="B43" s="1">
        <v>143.0</v>
      </c>
      <c r="C43" s="1">
        <v>268100.0</v>
      </c>
      <c r="D43" s="1">
        <v>29.0</v>
      </c>
      <c r="E43" s="1">
        <v>177.0</v>
      </c>
    </row>
    <row r="44">
      <c r="A44" s="2">
        <v>45578.0</v>
      </c>
      <c r="B44" s="1">
        <v>145.0</v>
      </c>
      <c r="C44" s="1">
        <v>129800.0</v>
      </c>
      <c r="D44" s="1">
        <v>14.0</v>
      </c>
      <c r="E44" s="1">
        <v>177.0</v>
      </c>
    </row>
    <row r="45">
      <c r="A45" s="2">
        <v>45579.0</v>
      </c>
      <c r="B45" s="1">
        <v>136.0</v>
      </c>
      <c r="C45" s="1">
        <v>141800.0</v>
      </c>
      <c r="D45" s="1">
        <v>14.0</v>
      </c>
      <c r="E45" s="1">
        <v>177.0</v>
      </c>
    </row>
    <row r="46">
      <c r="A46" s="2">
        <v>45580.0</v>
      </c>
      <c r="B46" s="1">
        <v>134.0</v>
      </c>
      <c r="C46" s="1">
        <v>137000.0</v>
      </c>
      <c r="D46" s="1">
        <v>14.0</v>
      </c>
      <c r="E46" s="1">
        <v>177.0</v>
      </c>
    </row>
    <row r="47">
      <c r="A47" s="2">
        <v>45581.0</v>
      </c>
      <c r="B47" s="1">
        <v>135.0</v>
      </c>
      <c r="C47" s="1">
        <v>188300.0</v>
      </c>
      <c r="D47" s="1">
        <v>23.0</v>
      </c>
      <c r="E47" s="1">
        <v>177.0</v>
      </c>
    </row>
    <row r="48">
      <c r="A48" s="2">
        <v>45582.0</v>
      </c>
      <c r="B48" s="1">
        <v>131.0</v>
      </c>
      <c r="C48" s="1">
        <v>212700.0</v>
      </c>
      <c r="D48" s="1">
        <v>24.0</v>
      </c>
      <c r="E48" s="1">
        <v>177.0</v>
      </c>
    </row>
    <row r="49">
      <c r="A49" s="2">
        <v>45583.0</v>
      </c>
      <c r="B49" s="1">
        <v>145.0</v>
      </c>
      <c r="C49" s="1">
        <v>249700.0</v>
      </c>
      <c r="D49" s="1">
        <v>33.0</v>
      </c>
      <c r="E49" s="1">
        <v>177.0</v>
      </c>
    </row>
    <row r="50">
      <c r="A50" s="2">
        <v>45584.0</v>
      </c>
      <c r="B50" s="1">
        <v>156.0</v>
      </c>
      <c r="C50" s="1">
        <v>158900.0</v>
      </c>
      <c r="D50" s="1">
        <v>18.0</v>
      </c>
      <c r="E50" s="1">
        <v>177.0</v>
      </c>
    </row>
    <row r="51">
      <c r="A51" s="2">
        <v>45585.0</v>
      </c>
      <c r="B51" s="1">
        <v>148.0</v>
      </c>
      <c r="C51" s="1">
        <v>97900.0</v>
      </c>
      <c r="D51" s="1">
        <v>13.0</v>
      </c>
      <c r="E51" s="1">
        <v>177.0</v>
      </c>
    </row>
    <row r="52">
      <c r="A52" s="2">
        <v>45586.0</v>
      </c>
      <c r="B52" s="1">
        <v>123.0</v>
      </c>
      <c r="C52" s="1">
        <v>79300.0</v>
      </c>
      <c r="D52" s="1">
        <v>8.0</v>
      </c>
      <c r="E52" s="1">
        <v>177.0</v>
      </c>
    </row>
    <row r="53">
      <c r="A53" s="2">
        <v>45587.0</v>
      </c>
      <c r="B53" s="1">
        <v>119.0</v>
      </c>
      <c r="C53" s="1">
        <v>141900.0</v>
      </c>
      <c r="D53" s="1">
        <v>16.0</v>
      </c>
      <c r="E53" s="1">
        <v>177.0</v>
      </c>
    </row>
    <row r="54">
      <c r="A54" s="2">
        <v>45588.0</v>
      </c>
      <c r="B54" s="1">
        <v>119.0</v>
      </c>
      <c r="C54" s="1">
        <v>213600.0</v>
      </c>
      <c r="D54" s="1">
        <v>23.0</v>
      </c>
      <c r="E54" s="1">
        <v>177.0</v>
      </c>
    </row>
    <row r="55">
      <c r="A55" s="2">
        <v>45589.0</v>
      </c>
      <c r="B55" s="1">
        <v>115.0</v>
      </c>
      <c r="C55" s="1">
        <v>237200.0</v>
      </c>
      <c r="D55" s="1">
        <v>26.0</v>
      </c>
      <c r="E55" s="1">
        <v>177.0</v>
      </c>
    </row>
    <row r="56">
      <c r="A56" s="2">
        <v>45590.0</v>
      </c>
      <c r="B56" s="1">
        <v>140.0</v>
      </c>
      <c r="C56" s="1">
        <v>366100.0</v>
      </c>
      <c r="D56" s="1">
        <v>38.0</v>
      </c>
      <c r="E56" s="1">
        <v>177.0</v>
      </c>
    </row>
    <row r="57">
      <c r="A57" s="2">
        <v>45591.0</v>
      </c>
      <c r="B57" s="1">
        <v>154.0</v>
      </c>
      <c r="C57" s="1">
        <v>265700.0</v>
      </c>
      <c r="D57" s="1">
        <v>29.0</v>
      </c>
      <c r="E57" s="1">
        <v>177.0</v>
      </c>
    </row>
    <row r="58">
      <c r="A58" s="2">
        <v>45592.0</v>
      </c>
      <c r="B58" s="1">
        <v>164.0</v>
      </c>
      <c r="C58" s="1">
        <v>204200.0</v>
      </c>
      <c r="D58" s="1">
        <v>22.0</v>
      </c>
      <c r="E58" s="1">
        <v>177.0</v>
      </c>
    </row>
    <row r="59">
      <c r="A59" s="2">
        <v>45593.0</v>
      </c>
      <c r="B59" s="1">
        <v>175.0</v>
      </c>
      <c r="C59" s="1">
        <v>272700.0</v>
      </c>
      <c r="D59" s="1">
        <v>30.0</v>
      </c>
      <c r="E59" s="1">
        <v>177.0</v>
      </c>
    </row>
    <row r="60">
      <c r="A60" s="2">
        <v>45594.0</v>
      </c>
      <c r="B60" s="1">
        <v>188.0</v>
      </c>
      <c r="C60" s="1">
        <v>290600.0</v>
      </c>
      <c r="D60" s="1">
        <v>31.0</v>
      </c>
      <c r="E60" s="1">
        <v>177.0</v>
      </c>
    </row>
    <row r="61">
      <c r="A61" s="2">
        <v>45595.0</v>
      </c>
      <c r="B61" s="1">
        <v>188.0</v>
      </c>
      <c r="C61" s="1">
        <v>208800.0</v>
      </c>
      <c r="D61" s="1">
        <v>24.0</v>
      </c>
      <c r="E61" s="1">
        <v>177.0</v>
      </c>
    </row>
    <row r="62">
      <c r="A62" s="2">
        <v>45596.0</v>
      </c>
      <c r="B62" s="1">
        <v>199.0</v>
      </c>
      <c r="C62" s="1">
        <v>282800.0</v>
      </c>
      <c r="D62" s="1">
        <v>33.0</v>
      </c>
      <c r="E62" s="1">
        <v>177.0</v>
      </c>
    </row>
    <row r="63">
      <c r="A63" s="2">
        <v>45597.0</v>
      </c>
      <c r="B63" s="1">
        <v>199.0</v>
      </c>
      <c r="C63" s="1">
        <v>222700.0</v>
      </c>
      <c r="D63" s="1">
        <v>26.0</v>
      </c>
      <c r="E63" s="1">
        <v>177.0</v>
      </c>
    </row>
    <row r="64">
      <c r="A64" s="2">
        <v>45598.0</v>
      </c>
      <c r="B64" s="1">
        <v>201.0</v>
      </c>
      <c r="C64" s="1">
        <v>270500.0</v>
      </c>
      <c r="D64" s="1">
        <v>27.0</v>
      </c>
      <c r="E64" s="1">
        <v>177.0</v>
      </c>
    </row>
    <row r="65">
      <c r="A65" s="2">
        <v>45599.0</v>
      </c>
      <c r="B65" s="1">
        <v>169.0</v>
      </c>
      <c r="C65" s="1">
        <v>104300.0</v>
      </c>
      <c r="D65" s="1">
        <v>10.0</v>
      </c>
      <c r="E65" s="1">
        <v>177.0</v>
      </c>
    </row>
    <row r="66">
      <c r="A66" s="2">
        <v>45600.0</v>
      </c>
      <c r="B66" s="1">
        <v>145.0</v>
      </c>
      <c r="C66" s="1">
        <v>145700.0</v>
      </c>
      <c r="D66" s="1">
        <v>15.0</v>
      </c>
      <c r="E66" s="1">
        <v>177.0</v>
      </c>
    </row>
    <row r="67">
      <c r="A67" s="2">
        <v>45601.0</v>
      </c>
      <c r="B67" s="1">
        <v>128.0</v>
      </c>
      <c r="C67" s="1">
        <v>182700.0</v>
      </c>
      <c r="D67" s="1">
        <v>17.0</v>
      </c>
      <c r="E67" s="1">
        <v>177.0</v>
      </c>
    </row>
    <row r="68">
      <c r="A68" s="2">
        <v>45602.0</v>
      </c>
      <c r="B68" s="1">
        <v>118.0</v>
      </c>
      <c r="C68" s="1">
        <v>140000.0</v>
      </c>
      <c r="D68" s="1">
        <v>18.0</v>
      </c>
      <c r="E68" s="1">
        <v>177.0</v>
      </c>
    </row>
    <row r="69">
      <c r="A69" s="2">
        <v>45603.0</v>
      </c>
      <c r="B69" s="1">
        <v>136.0</v>
      </c>
      <c r="C69" s="1">
        <v>262900.0</v>
      </c>
      <c r="D69" s="1">
        <v>30.0</v>
      </c>
      <c r="E69" s="1">
        <v>177.0</v>
      </c>
    </row>
    <row r="70">
      <c r="A70" s="2">
        <v>45604.0</v>
      </c>
      <c r="B70" s="1">
        <v>138.0</v>
      </c>
      <c r="C70" s="1">
        <v>108100.0</v>
      </c>
      <c r="D70" s="1">
        <v>15.0</v>
      </c>
      <c r="E70" s="1">
        <v>177.0</v>
      </c>
    </row>
    <row r="71">
      <c r="A71" s="2">
        <v>45605.0</v>
      </c>
      <c r="B71" s="1">
        <v>155.0</v>
      </c>
      <c r="C71" s="1">
        <v>238900.0</v>
      </c>
      <c r="D71" s="1">
        <v>26.0</v>
      </c>
      <c r="E71" s="1">
        <v>177.0</v>
      </c>
    </row>
    <row r="72">
      <c r="A72" s="2">
        <v>45606.0</v>
      </c>
      <c r="B72" s="1">
        <v>146.0</v>
      </c>
      <c r="C72" s="1">
        <v>109800.0</v>
      </c>
      <c r="D72" s="1">
        <v>11.0</v>
      </c>
      <c r="E72" s="1">
        <v>177.0</v>
      </c>
    </row>
    <row r="73">
      <c r="A73" s="2">
        <v>45607.0</v>
      </c>
      <c r="B73" s="1">
        <v>132.0</v>
      </c>
      <c r="C73" s="1">
        <v>256400.0</v>
      </c>
      <c r="D73" s="1">
        <v>27.0</v>
      </c>
      <c r="E73" s="1">
        <v>177.0</v>
      </c>
    </row>
    <row r="74">
      <c r="A74" s="2">
        <v>45608.0</v>
      </c>
      <c r="B74" s="1">
        <v>116.0</v>
      </c>
      <c r="C74" s="1">
        <v>143200.0</v>
      </c>
      <c r="D74" s="1">
        <v>14.0</v>
      </c>
      <c r="E74" s="1">
        <v>177.0</v>
      </c>
    </row>
    <row r="75">
      <c r="A75" s="2">
        <v>45609.0</v>
      </c>
      <c r="B75" s="1">
        <v>119.0</v>
      </c>
      <c r="C75" s="1">
        <v>144300.0</v>
      </c>
      <c r="D75" s="1">
        <v>16.0</v>
      </c>
      <c r="E75" s="1">
        <v>177.0</v>
      </c>
    </row>
    <row r="76">
      <c r="A76" s="2">
        <v>45610.0</v>
      </c>
      <c r="B76" s="1">
        <v>125.0</v>
      </c>
      <c r="C76" s="1">
        <v>191800.0</v>
      </c>
      <c r="D76" s="1">
        <v>24.0</v>
      </c>
      <c r="E76" s="1">
        <v>177.0</v>
      </c>
    </row>
    <row r="77">
      <c r="A77" s="2">
        <v>45611.0</v>
      </c>
      <c r="B77" s="1">
        <v>129.0</v>
      </c>
      <c r="C77" s="1">
        <v>192200.0</v>
      </c>
      <c r="D77" s="1">
        <v>20.0</v>
      </c>
      <c r="E77" s="1">
        <v>177.0</v>
      </c>
    </row>
    <row r="78">
      <c r="A78" s="2">
        <v>45612.0</v>
      </c>
      <c r="B78" s="1">
        <v>138.0</v>
      </c>
      <c r="C78" s="1">
        <v>265100.0</v>
      </c>
      <c r="D78" s="1">
        <v>29.0</v>
      </c>
      <c r="E78" s="1">
        <v>177.0</v>
      </c>
    </row>
    <row r="79">
      <c r="A79" s="2">
        <v>45613.0</v>
      </c>
      <c r="B79" s="1">
        <v>129.0</v>
      </c>
      <c r="C79" s="1">
        <v>134400.0</v>
      </c>
      <c r="D79" s="1">
        <v>13.0</v>
      </c>
      <c r="E79" s="1">
        <v>177.0</v>
      </c>
    </row>
    <row r="80">
      <c r="A80" s="2">
        <v>45614.0</v>
      </c>
      <c r="B80" s="1">
        <v>109.0</v>
      </c>
      <c r="C80" s="1">
        <v>73400.0</v>
      </c>
      <c r="D80" s="1">
        <v>8.0</v>
      </c>
      <c r="E80" s="1">
        <v>177.0</v>
      </c>
    </row>
    <row r="81">
      <c r="A81" s="2">
        <v>45615.0</v>
      </c>
      <c r="B81" s="1">
        <v>94.0</v>
      </c>
      <c r="C81" s="1">
        <v>109100.0</v>
      </c>
      <c r="D81" s="1">
        <v>11.0</v>
      </c>
      <c r="E81" s="1">
        <v>177.0</v>
      </c>
    </row>
    <row r="82">
      <c r="A82" s="2">
        <v>45616.0</v>
      </c>
      <c r="B82" s="1">
        <v>88.0</v>
      </c>
      <c r="C82" s="1">
        <v>93400.0</v>
      </c>
      <c r="D82" s="1">
        <v>10.0</v>
      </c>
      <c r="E82" s="1">
        <v>177.0</v>
      </c>
    </row>
    <row r="83">
      <c r="A83" s="2">
        <v>45617.0</v>
      </c>
      <c r="B83" s="1">
        <v>97.0</v>
      </c>
      <c r="C83" s="1">
        <v>140800.0</v>
      </c>
      <c r="D83" s="1">
        <v>16.0</v>
      </c>
      <c r="E83" s="1">
        <v>177.0</v>
      </c>
    </row>
    <row r="84">
      <c r="A84" s="2">
        <v>45618.0</v>
      </c>
      <c r="B84" s="1">
        <v>107.0</v>
      </c>
      <c r="C84" s="1">
        <v>174000.0</v>
      </c>
      <c r="D84" s="1">
        <v>23.0</v>
      </c>
      <c r="E84" s="1">
        <v>177.0</v>
      </c>
    </row>
    <row r="85">
      <c r="A85" s="2">
        <v>45619.0</v>
      </c>
      <c r="B85" s="1">
        <v>101.0</v>
      </c>
      <c r="C85" s="1">
        <v>86200.0</v>
      </c>
      <c r="D85" s="1">
        <v>10.0</v>
      </c>
      <c r="E85" s="1">
        <v>177.0</v>
      </c>
    </row>
    <row r="86">
      <c r="A86" s="2">
        <v>45620.0</v>
      </c>
      <c r="B86" s="1">
        <v>98.0</v>
      </c>
      <c r="C86" s="1">
        <v>145000.0</v>
      </c>
      <c r="D86" s="1">
        <v>12.0</v>
      </c>
      <c r="E86" s="1">
        <v>177.0</v>
      </c>
    </row>
    <row r="87">
      <c r="A87" s="2">
        <v>45621.0</v>
      </c>
      <c r="B87" s="1">
        <v>81.0</v>
      </c>
      <c r="C87" s="1">
        <v>94100.0</v>
      </c>
      <c r="D87" s="1">
        <v>10.0</v>
      </c>
      <c r="E87" s="1">
        <v>177.0</v>
      </c>
    </row>
    <row r="88">
      <c r="A88" s="2">
        <v>45622.0</v>
      </c>
      <c r="B88" s="1">
        <v>67.0</v>
      </c>
      <c r="C88" s="1">
        <v>82200.0</v>
      </c>
      <c r="D88" s="1">
        <v>9.0</v>
      </c>
      <c r="E88" s="1">
        <v>177.0</v>
      </c>
    </row>
    <row r="89">
      <c r="A89" s="2">
        <v>45623.0</v>
      </c>
      <c r="B89" s="1">
        <v>60.0</v>
      </c>
      <c r="C89" s="1">
        <v>43600.0</v>
      </c>
      <c r="D89" s="1">
        <v>4.0</v>
      </c>
      <c r="E89" s="1">
        <v>177.0</v>
      </c>
    </row>
    <row r="90">
      <c r="A90" s="2">
        <v>45624.0</v>
      </c>
      <c r="B90" s="1">
        <v>69.0</v>
      </c>
      <c r="C90" s="1">
        <v>163900.0</v>
      </c>
      <c r="D90" s="1">
        <v>17.0</v>
      </c>
      <c r="E90" s="1">
        <v>177.0</v>
      </c>
    </row>
    <row r="91">
      <c r="A91" s="2">
        <v>45625.0</v>
      </c>
      <c r="B91" s="1">
        <v>87.0</v>
      </c>
      <c r="C91" s="1">
        <v>266500.0</v>
      </c>
      <c r="D91" s="1">
        <v>30.0</v>
      </c>
      <c r="E91" s="1">
        <v>177.0</v>
      </c>
    </row>
    <row r="92">
      <c r="A92" s="2">
        <v>45626.0</v>
      </c>
      <c r="B92" s="1">
        <v>93.0</v>
      </c>
      <c r="C92" s="1">
        <v>127900.0</v>
      </c>
      <c r="D92" s="1">
        <v>13.0</v>
      </c>
      <c r="E92" s="1">
        <v>177.0</v>
      </c>
    </row>
    <row r="93">
      <c r="A93" s="2">
        <v>45627.0</v>
      </c>
      <c r="B93" s="1">
        <v>85.0</v>
      </c>
      <c r="C93" s="1">
        <v>114000.0</v>
      </c>
      <c r="D93" s="1">
        <v>11.0</v>
      </c>
      <c r="E93" s="1">
        <v>177.0</v>
      </c>
    </row>
    <row r="94">
      <c r="A94" s="2">
        <v>45628.0</v>
      </c>
      <c r="B94" s="1">
        <v>75.0</v>
      </c>
      <c r="C94" s="1">
        <v>62800.0</v>
      </c>
      <c r="D94" s="1">
        <v>6.0</v>
      </c>
      <c r="E94" s="1">
        <v>177.0</v>
      </c>
    </row>
    <row r="95">
      <c r="A95" s="2">
        <v>45629.0</v>
      </c>
      <c r="B95" s="1">
        <v>60.0</v>
      </c>
      <c r="C95" s="1">
        <v>68400.0</v>
      </c>
      <c r="D95" s="1">
        <v>6.0</v>
      </c>
      <c r="E95" s="1">
        <v>177.0</v>
      </c>
    </row>
    <row r="96">
      <c r="A96" s="2">
        <v>45630.0</v>
      </c>
      <c r="B96" s="1">
        <v>60.0</v>
      </c>
      <c r="C96" s="1">
        <v>64300.0</v>
      </c>
      <c r="D96" s="1">
        <v>7.0</v>
      </c>
      <c r="E96" s="1">
        <v>177.0</v>
      </c>
    </row>
    <row r="97">
      <c r="A97" s="2">
        <v>45631.0</v>
      </c>
      <c r="B97" s="1">
        <v>69.0</v>
      </c>
      <c r="C97" s="1">
        <v>210100.0</v>
      </c>
      <c r="D97" s="1">
        <v>20.0</v>
      </c>
      <c r="E97" s="1">
        <v>177.0</v>
      </c>
    </row>
    <row r="98">
      <c r="A98" s="2">
        <v>45632.0</v>
      </c>
      <c r="B98" s="1">
        <v>86.0</v>
      </c>
      <c r="C98" s="1">
        <v>241900.0</v>
      </c>
      <c r="D98" s="1">
        <v>26.0</v>
      </c>
      <c r="E98" s="1">
        <v>177.0</v>
      </c>
    </row>
    <row r="99">
      <c r="A99" s="2">
        <v>45633.0</v>
      </c>
      <c r="B99" s="1">
        <v>95.0</v>
      </c>
      <c r="C99" s="1">
        <v>175700.0</v>
      </c>
      <c r="D99" s="1">
        <v>19.0</v>
      </c>
      <c r="E99" s="1">
        <v>177.0</v>
      </c>
    </row>
    <row r="100">
      <c r="A100" s="2">
        <v>45634.0</v>
      </c>
      <c r="B100" s="1">
        <v>99.0</v>
      </c>
      <c r="C100" s="1">
        <v>116400.0</v>
      </c>
      <c r="D100" s="1">
        <v>11.0</v>
      </c>
      <c r="E100" s="1">
        <v>177.0</v>
      </c>
    </row>
    <row r="101">
      <c r="A101" s="2">
        <v>45635.0</v>
      </c>
      <c r="B101" s="1">
        <v>78.0</v>
      </c>
      <c r="C101" s="1">
        <v>14200.0</v>
      </c>
      <c r="D101" s="1">
        <v>2.0</v>
      </c>
      <c r="E101" s="1">
        <v>177.0</v>
      </c>
    </row>
    <row r="102">
      <c r="A102" s="2">
        <v>45636.0</v>
      </c>
      <c r="B102" s="1">
        <v>67.0</v>
      </c>
      <c r="C102" s="1">
        <v>92800.0</v>
      </c>
      <c r="D102" s="1">
        <v>9.0</v>
      </c>
      <c r="E102" s="1">
        <v>177.0</v>
      </c>
    </row>
    <row r="103">
      <c r="A103" s="2">
        <v>45637.0</v>
      </c>
      <c r="B103" s="1">
        <v>60.0</v>
      </c>
      <c r="C103" s="1">
        <v>84300.0</v>
      </c>
      <c r="D103" s="1">
        <v>8.0</v>
      </c>
      <c r="E103" s="1">
        <v>177.0</v>
      </c>
    </row>
    <row r="104">
      <c r="A104" s="2">
        <v>45638.0</v>
      </c>
      <c r="B104" s="1">
        <v>58.0</v>
      </c>
      <c r="C104" s="1">
        <v>93700.0</v>
      </c>
      <c r="D104" s="1">
        <v>9.0</v>
      </c>
      <c r="E104" s="1">
        <v>177.0</v>
      </c>
    </row>
    <row r="105">
      <c r="A105" s="2">
        <v>45639.0</v>
      </c>
      <c r="B105" s="1">
        <v>70.0</v>
      </c>
      <c r="C105" s="1">
        <v>181200.0</v>
      </c>
      <c r="D105" s="1">
        <v>19.0</v>
      </c>
      <c r="E105" s="1">
        <v>177.0</v>
      </c>
    </row>
    <row r="106">
      <c r="A106" s="2">
        <v>45640.0</v>
      </c>
      <c r="B106" s="1">
        <v>69.0</v>
      </c>
      <c r="C106" s="1">
        <v>109200.0</v>
      </c>
      <c r="D106" s="1">
        <v>11.0</v>
      </c>
      <c r="E106" s="1">
        <v>177.0</v>
      </c>
    </row>
    <row r="107">
      <c r="A107" s="2">
        <v>45641.0</v>
      </c>
      <c r="B107" s="1">
        <v>72.0</v>
      </c>
      <c r="C107" s="1">
        <v>141700.0</v>
      </c>
      <c r="D107" s="1">
        <v>11.0</v>
      </c>
      <c r="E107" s="1">
        <v>177.0</v>
      </c>
    </row>
    <row r="108">
      <c r="A108" s="2">
        <v>45642.0</v>
      </c>
      <c r="B108" s="1">
        <v>62.0</v>
      </c>
      <c r="C108" s="1">
        <v>55100.0</v>
      </c>
      <c r="D108" s="1">
        <v>6.0</v>
      </c>
      <c r="E108" s="1">
        <v>177.0</v>
      </c>
    </row>
    <row r="109">
      <c r="A109" s="2">
        <v>45643.0</v>
      </c>
      <c r="B109" s="1">
        <v>62.0</v>
      </c>
      <c r="C109" s="1">
        <v>150300.0</v>
      </c>
      <c r="D109" s="1">
        <v>12.0</v>
      </c>
      <c r="E109" s="1">
        <v>177.0</v>
      </c>
    </row>
    <row r="110">
      <c r="A110" s="2">
        <v>45644.0</v>
      </c>
      <c r="B110" s="1">
        <v>55.0</v>
      </c>
      <c r="C110" s="1">
        <v>44500.0</v>
      </c>
      <c r="D110" s="1">
        <v>4.0</v>
      </c>
      <c r="E110" s="1">
        <v>177.0</v>
      </c>
    </row>
    <row r="111">
      <c r="A111" s="2">
        <v>45645.0</v>
      </c>
      <c r="B111" s="1">
        <v>54.0</v>
      </c>
      <c r="C111" s="1">
        <v>66300.0</v>
      </c>
      <c r="D111" s="1">
        <v>6.0</v>
      </c>
      <c r="E111" s="1">
        <v>177.0</v>
      </c>
    </row>
    <row r="112">
      <c r="A112" s="2">
        <v>45646.0</v>
      </c>
      <c r="B112" s="1">
        <v>59.0</v>
      </c>
      <c r="C112" s="1">
        <v>165400.0</v>
      </c>
      <c r="D112" s="1">
        <v>12.0</v>
      </c>
      <c r="E112" s="1">
        <v>177.0</v>
      </c>
    </row>
    <row r="113">
      <c r="A113" s="2">
        <v>45647.0</v>
      </c>
      <c r="B113" s="1">
        <v>65.0</v>
      </c>
      <c r="C113" s="1">
        <v>172000.0</v>
      </c>
      <c r="D113" s="1">
        <v>13.0</v>
      </c>
      <c r="E113" s="1">
        <v>177.0</v>
      </c>
    </row>
    <row r="114">
      <c r="A114" s="2">
        <v>45648.0</v>
      </c>
      <c r="B114" s="1">
        <v>75.0</v>
      </c>
      <c r="C114" s="1">
        <v>221800.0</v>
      </c>
      <c r="D114" s="1">
        <v>17.0</v>
      </c>
      <c r="E114" s="1">
        <v>177.0</v>
      </c>
    </row>
    <row r="115">
      <c r="A115" s="2">
        <v>45649.0</v>
      </c>
      <c r="B115" s="1">
        <v>88.0</v>
      </c>
      <c r="C115" s="1">
        <v>218000.0</v>
      </c>
      <c r="D115" s="1">
        <v>17.0</v>
      </c>
      <c r="E115" s="1">
        <v>177.0</v>
      </c>
    </row>
    <row r="116">
      <c r="A116" s="2">
        <v>45650.0</v>
      </c>
      <c r="B116" s="1">
        <v>85.0</v>
      </c>
      <c r="C116" s="1">
        <v>96300.0</v>
      </c>
      <c r="D116" s="1">
        <v>6.0</v>
      </c>
      <c r="E116" s="1">
        <v>177.0</v>
      </c>
    </row>
    <row r="117">
      <c r="A117" s="2">
        <v>45651.0</v>
      </c>
      <c r="B117" s="1">
        <v>88.0</v>
      </c>
      <c r="C117" s="1">
        <v>182100.0</v>
      </c>
      <c r="D117" s="1">
        <v>12.0</v>
      </c>
      <c r="E117" s="1">
        <v>177.0</v>
      </c>
    </row>
    <row r="118">
      <c r="A118" s="2">
        <v>45652.0</v>
      </c>
      <c r="B118" s="1">
        <v>105.0</v>
      </c>
      <c r="C118" s="1">
        <v>247500.0</v>
      </c>
      <c r="D118" s="1">
        <v>19.0</v>
      </c>
      <c r="E118" s="1">
        <v>177.0</v>
      </c>
    </row>
    <row r="119">
      <c r="A119" s="2">
        <v>45653.0</v>
      </c>
      <c r="B119" s="1">
        <v>114.0</v>
      </c>
      <c r="C119" s="1">
        <v>225600.0</v>
      </c>
      <c r="D119" s="1">
        <v>16.0</v>
      </c>
      <c r="E119" s="1">
        <v>177.0</v>
      </c>
    </row>
    <row r="120">
      <c r="A120" s="2">
        <v>45654.0</v>
      </c>
      <c r="B120" s="1">
        <v>124.0</v>
      </c>
      <c r="C120" s="1">
        <v>218700.0</v>
      </c>
      <c r="D120" s="1">
        <v>20.0</v>
      </c>
      <c r="E120" s="1">
        <v>177.0</v>
      </c>
    </row>
    <row r="121">
      <c r="A121" s="2">
        <v>45655.0</v>
      </c>
      <c r="B121" s="1">
        <v>135.0</v>
      </c>
      <c r="C121" s="1">
        <v>206400.0</v>
      </c>
      <c r="D121" s="1">
        <v>19.0</v>
      </c>
      <c r="E121" s="1">
        <v>177.0</v>
      </c>
    </row>
    <row r="122">
      <c r="A122" s="2">
        <v>45656.0</v>
      </c>
      <c r="B122" s="1">
        <v>133.0</v>
      </c>
      <c r="C122" s="1">
        <v>166700.0</v>
      </c>
      <c r="D122" s="1">
        <v>15.0</v>
      </c>
      <c r="E122" s="1">
        <v>177.0</v>
      </c>
    </row>
    <row r="123">
      <c r="A123" s="2">
        <v>45657.0</v>
      </c>
      <c r="B123" s="1">
        <v>141.0</v>
      </c>
      <c r="C123" s="1">
        <v>239300.0</v>
      </c>
      <c r="D123" s="1">
        <v>18.0</v>
      </c>
      <c r="E123" s="1">
        <v>177.0</v>
      </c>
    </row>
    <row r="124">
      <c r="A124" s="2">
        <v>45658.0</v>
      </c>
      <c r="B124" s="1">
        <v>147.0</v>
      </c>
      <c r="C124" s="1">
        <v>231500.0</v>
      </c>
      <c r="D124" s="1">
        <v>18.0</v>
      </c>
      <c r="E124" s="1">
        <v>177.0</v>
      </c>
    </row>
    <row r="125">
      <c r="A125" s="2">
        <v>45659.0</v>
      </c>
      <c r="B125" s="1">
        <v>142.0</v>
      </c>
      <c r="C125" s="1">
        <v>103600.0</v>
      </c>
      <c r="D125" s="1">
        <v>9.0</v>
      </c>
      <c r="E125" s="1">
        <v>177.0</v>
      </c>
    </row>
    <row r="126">
      <c r="A126" s="2">
        <v>45660.0</v>
      </c>
      <c r="B126" s="1">
        <v>113.0</v>
      </c>
      <c r="C126" s="1">
        <v>103800.0</v>
      </c>
      <c r="D126" s="1">
        <v>7.0</v>
      </c>
      <c r="E126" s="1">
        <v>177.0</v>
      </c>
    </row>
    <row r="127">
      <c r="A127" s="2">
        <v>45661.0</v>
      </c>
      <c r="B127" s="1">
        <v>120.0</v>
      </c>
      <c r="C127" s="1">
        <v>214000.0</v>
      </c>
      <c r="D127" s="1">
        <v>17.0</v>
      </c>
      <c r="E127" s="1">
        <v>177.0</v>
      </c>
    </row>
    <row r="128">
      <c r="A128" s="2">
        <v>45662.0</v>
      </c>
      <c r="B128" s="1">
        <v>103.0</v>
      </c>
      <c r="C128" s="1">
        <v>101500.0</v>
      </c>
      <c r="D128" s="1">
        <v>7.0</v>
      </c>
      <c r="E128" s="1">
        <v>177.0</v>
      </c>
    </row>
    <row r="129">
      <c r="A129" s="2">
        <v>45663.0</v>
      </c>
      <c r="B129" s="1">
        <v>92.0</v>
      </c>
      <c r="C129" s="1">
        <v>116100.0</v>
      </c>
      <c r="D129" s="1">
        <v>7.0</v>
      </c>
      <c r="E129" s="1">
        <v>177.0</v>
      </c>
    </row>
    <row r="130">
      <c r="A130" s="2">
        <v>45664.0</v>
      </c>
      <c r="B130" s="1">
        <v>83.0</v>
      </c>
      <c r="C130" s="1">
        <v>116620.0</v>
      </c>
      <c r="D130" s="1">
        <v>4.0</v>
      </c>
      <c r="E130" s="1">
        <v>177.0</v>
      </c>
    </row>
    <row r="131">
      <c r="A131" s="2">
        <v>45665.0</v>
      </c>
      <c r="B131" s="1">
        <v>67.0</v>
      </c>
      <c r="C131" s="1">
        <v>9800.0</v>
      </c>
      <c r="D131" s="1">
        <v>1.0</v>
      </c>
      <c r="E131" s="1">
        <v>177.0</v>
      </c>
    </row>
    <row r="132">
      <c r="A132" s="2">
        <v>45666.0</v>
      </c>
      <c r="B132" s="1">
        <v>76.0</v>
      </c>
      <c r="C132" s="1">
        <v>168600.0</v>
      </c>
      <c r="D132" s="1">
        <v>15.0</v>
      </c>
      <c r="E132" s="1">
        <v>177.0</v>
      </c>
    </row>
    <row r="133">
      <c r="A133" s="2">
        <v>45667.0</v>
      </c>
      <c r="B133" s="1">
        <v>87.0</v>
      </c>
      <c r="C133" s="1">
        <v>187900.0</v>
      </c>
      <c r="D133" s="1">
        <v>18.0</v>
      </c>
      <c r="E133" s="1">
        <v>177.0</v>
      </c>
    </row>
    <row r="134">
      <c r="A134" s="2">
        <v>45668.0</v>
      </c>
      <c r="B134" s="1">
        <v>86.0</v>
      </c>
      <c r="C134" s="1">
        <v>83000.0</v>
      </c>
      <c r="D134" s="1">
        <v>10.0</v>
      </c>
      <c r="E134" s="1">
        <v>177.0</v>
      </c>
    </row>
    <row r="135">
      <c r="A135" s="2">
        <v>45669.0</v>
      </c>
      <c r="B135" s="1">
        <v>88.0</v>
      </c>
      <c r="C135" s="1">
        <v>66400.0</v>
      </c>
      <c r="D135" s="1">
        <v>6.0</v>
      </c>
      <c r="E135" s="1">
        <v>177.0</v>
      </c>
    </row>
    <row r="136">
      <c r="A136" s="2">
        <v>45670.0</v>
      </c>
      <c r="B136" s="1">
        <v>71.0</v>
      </c>
      <c r="C136" s="1">
        <v>95700.0</v>
      </c>
      <c r="D136" s="1">
        <v>8.0</v>
      </c>
      <c r="E136" s="1">
        <v>177.0</v>
      </c>
    </row>
    <row r="137">
      <c r="A137" s="2">
        <v>45671.0</v>
      </c>
      <c r="B137" s="1">
        <v>70.0</v>
      </c>
      <c r="C137" s="1">
        <v>114900.0</v>
      </c>
      <c r="D137" s="1">
        <v>10.0</v>
      </c>
      <c r="E137" s="1">
        <v>177.0</v>
      </c>
    </row>
    <row r="138">
      <c r="A138" s="2">
        <v>45672.0</v>
      </c>
      <c r="B138" s="1">
        <v>65.0</v>
      </c>
      <c r="C138" s="1">
        <v>45700.0</v>
      </c>
      <c r="D138" s="1">
        <v>4.0</v>
      </c>
      <c r="E138" s="1">
        <v>177.0</v>
      </c>
    </row>
    <row r="139">
      <c r="A139" s="2">
        <v>45673.0</v>
      </c>
      <c r="B139" s="1">
        <v>76.0</v>
      </c>
      <c r="C139" s="1">
        <v>143400.0</v>
      </c>
      <c r="D139" s="1">
        <v>16.0</v>
      </c>
      <c r="E139" s="1">
        <v>177.0</v>
      </c>
    </row>
    <row r="140">
      <c r="A140" s="2">
        <v>45674.0</v>
      </c>
      <c r="B140" s="1">
        <v>88.0</v>
      </c>
      <c r="C140" s="1">
        <v>234100.0</v>
      </c>
      <c r="D140" s="1">
        <v>21.0</v>
      </c>
      <c r="E140" s="1">
        <v>177.0</v>
      </c>
    </row>
    <row r="141">
      <c r="A141" s="2">
        <v>45675.0</v>
      </c>
      <c r="B141" s="1">
        <v>97.0</v>
      </c>
      <c r="C141" s="1">
        <v>181200.0</v>
      </c>
      <c r="D141" s="1">
        <v>18.0</v>
      </c>
      <c r="E141" s="1">
        <v>177.0</v>
      </c>
    </row>
    <row r="142">
      <c r="A142" s="2">
        <v>45676.0</v>
      </c>
      <c r="B142" s="1">
        <v>94.0</v>
      </c>
      <c r="C142" s="1">
        <v>95800.0</v>
      </c>
      <c r="D142" s="1">
        <v>9.0</v>
      </c>
      <c r="E142" s="1">
        <v>177.0</v>
      </c>
    </row>
    <row r="143">
      <c r="A143" s="2">
        <v>45677.0</v>
      </c>
      <c r="B143" s="1">
        <v>78.0</v>
      </c>
      <c r="C143" s="1">
        <v>122200.0</v>
      </c>
      <c r="D143" s="1">
        <v>10.0</v>
      </c>
      <c r="E143" s="1">
        <v>177.0</v>
      </c>
    </row>
    <row r="144">
      <c r="A144" s="2">
        <v>45678.0</v>
      </c>
      <c r="B144" s="1">
        <v>71.0</v>
      </c>
      <c r="C144" s="1">
        <v>95300.0</v>
      </c>
      <c r="D144" s="1">
        <v>9.0</v>
      </c>
      <c r="E144" s="1">
        <v>177.0</v>
      </c>
    </row>
    <row r="145">
      <c r="A145" s="2">
        <v>45679.0</v>
      </c>
      <c r="B145" s="1">
        <v>82.0</v>
      </c>
      <c r="C145" s="1">
        <v>171700.0</v>
      </c>
      <c r="D145" s="1">
        <v>16.0</v>
      </c>
      <c r="E145" s="1">
        <v>177.0</v>
      </c>
    </row>
    <row r="146">
      <c r="A146" s="2">
        <v>45680.0</v>
      </c>
      <c r="B146" s="1">
        <v>89.0</v>
      </c>
      <c r="C146" s="1">
        <v>144300.0</v>
      </c>
      <c r="D146" s="1">
        <v>14.0</v>
      </c>
      <c r="E146" s="1">
        <v>177.0</v>
      </c>
    </row>
    <row r="147">
      <c r="A147" s="2">
        <v>45681.0</v>
      </c>
      <c r="B147" s="1">
        <v>94.0</v>
      </c>
      <c r="C147" s="1">
        <v>134600.0</v>
      </c>
      <c r="D147" s="1">
        <v>13.0</v>
      </c>
      <c r="E147" s="1">
        <v>177.0</v>
      </c>
    </row>
    <row r="148">
      <c r="A148" s="2">
        <v>45682.0</v>
      </c>
      <c r="B148" s="1">
        <v>88.0</v>
      </c>
      <c r="C148" s="1">
        <v>173300.0</v>
      </c>
      <c r="D148" s="1">
        <v>15.0</v>
      </c>
      <c r="E148" s="1">
        <v>177.0</v>
      </c>
    </row>
    <row r="149">
      <c r="A149" s="2">
        <v>45683.0</v>
      </c>
      <c r="B149" s="1">
        <v>84.0</v>
      </c>
      <c r="C149" s="1">
        <v>96400.0</v>
      </c>
      <c r="D149" s="1">
        <v>9.0</v>
      </c>
      <c r="E149" s="1">
        <v>177.0</v>
      </c>
    </row>
    <row r="150">
      <c r="A150" s="2">
        <v>45684.0</v>
      </c>
      <c r="B150" s="1">
        <v>79.0</v>
      </c>
      <c r="C150" s="1">
        <v>129800.0</v>
      </c>
      <c r="D150" s="1">
        <v>10.0</v>
      </c>
      <c r="E150" s="1">
        <v>177.0</v>
      </c>
    </row>
    <row r="151">
      <c r="A151" s="2">
        <v>45685.0</v>
      </c>
      <c r="B151" s="1">
        <v>73.0</v>
      </c>
      <c r="C151" s="1">
        <v>99100.0</v>
      </c>
      <c r="D151" s="1">
        <v>7.0</v>
      </c>
      <c r="E151" s="1">
        <v>177.0</v>
      </c>
    </row>
    <row r="152">
      <c r="A152" s="2">
        <v>45686.0</v>
      </c>
      <c r="B152" s="1">
        <v>65.0</v>
      </c>
      <c r="C152" s="1">
        <v>24800.0</v>
      </c>
      <c r="D152" s="1">
        <v>3.0</v>
      </c>
      <c r="E152" s="1">
        <v>177.0</v>
      </c>
    </row>
    <row r="153">
      <c r="A153" s="2">
        <v>45687.0</v>
      </c>
      <c r="B153" s="1">
        <v>75.0</v>
      </c>
      <c r="C153" s="1">
        <v>142400.0</v>
      </c>
      <c r="D153" s="1">
        <v>15.0</v>
      </c>
      <c r="E153" s="1">
        <v>177.0</v>
      </c>
    </row>
    <row r="154">
      <c r="A154" s="2">
        <v>45688.0</v>
      </c>
      <c r="B154" s="1">
        <v>88.0</v>
      </c>
      <c r="C154" s="1">
        <v>190500.0</v>
      </c>
      <c r="D154" s="1">
        <v>18.0</v>
      </c>
      <c r="E154" s="1">
        <v>177.0</v>
      </c>
    </row>
    <row r="155">
      <c r="A155" s="2">
        <v>45689.0</v>
      </c>
      <c r="B155" s="1">
        <v>93.0</v>
      </c>
      <c r="C155" s="1">
        <v>117000.0</v>
      </c>
      <c r="D155" s="1">
        <v>10.0</v>
      </c>
      <c r="E155" s="1">
        <v>177.0</v>
      </c>
    </row>
    <row r="156">
      <c r="A156" s="2">
        <v>45690.0</v>
      </c>
      <c r="B156" s="1">
        <v>87.0</v>
      </c>
      <c r="C156" s="1">
        <v>45800.0</v>
      </c>
      <c r="D156" s="1">
        <v>4.0</v>
      </c>
      <c r="E156" s="1">
        <v>177.0</v>
      </c>
    </row>
    <row r="157">
      <c r="A157" s="2">
        <v>45691.0</v>
      </c>
      <c r="B157" s="1">
        <v>72.0</v>
      </c>
      <c r="C157" s="1">
        <v>79400.0</v>
      </c>
      <c r="D157" s="1">
        <v>8.0</v>
      </c>
      <c r="E157" s="1">
        <v>177.0</v>
      </c>
    </row>
    <row r="158">
      <c r="A158" s="2">
        <v>45692.0</v>
      </c>
      <c r="B158" s="1">
        <v>74.0</v>
      </c>
      <c r="C158" s="1">
        <v>121600.0</v>
      </c>
      <c r="D158" s="1">
        <v>12.0</v>
      </c>
      <c r="E158" s="1">
        <v>177.0</v>
      </c>
    </row>
    <row r="159">
      <c r="A159" s="2">
        <v>45693.0</v>
      </c>
      <c r="B159" s="1">
        <v>79.0</v>
      </c>
      <c r="C159" s="1">
        <v>94100.0</v>
      </c>
      <c r="D159" s="1">
        <v>9.0</v>
      </c>
      <c r="E159" s="1">
        <v>177.0</v>
      </c>
    </row>
    <row r="160">
      <c r="A160" s="2">
        <v>45694.0</v>
      </c>
      <c r="B160" s="1">
        <v>83.0</v>
      </c>
      <c r="C160" s="1">
        <v>118900.0</v>
      </c>
      <c r="D160" s="1">
        <v>11.0</v>
      </c>
      <c r="E160" s="1">
        <v>177.0</v>
      </c>
    </row>
    <row r="161">
      <c r="A161" s="2">
        <v>45695.0</v>
      </c>
      <c r="B161" s="1">
        <v>93.0</v>
      </c>
      <c r="C161" s="1">
        <v>162200.0</v>
      </c>
      <c r="D161" s="1">
        <v>17.0</v>
      </c>
      <c r="E161" s="1">
        <v>177.0</v>
      </c>
    </row>
    <row r="162">
      <c r="A162" s="2">
        <v>45696.0</v>
      </c>
      <c r="B162" s="1">
        <v>97.0</v>
      </c>
      <c r="C162" s="1">
        <v>112400.0</v>
      </c>
      <c r="D162" s="1">
        <v>11.0</v>
      </c>
      <c r="E162" s="1">
        <v>177.0</v>
      </c>
    </row>
    <row r="163">
      <c r="A163" s="2">
        <v>45697.0</v>
      </c>
      <c r="B163" s="1">
        <v>78.0</v>
      </c>
      <c r="C163" s="1">
        <v>74400.0</v>
      </c>
      <c r="D163" s="1">
        <v>6.0</v>
      </c>
      <c r="E163" s="1">
        <v>177.0</v>
      </c>
    </row>
    <row r="164">
      <c r="A164" s="2">
        <v>45698.0</v>
      </c>
      <c r="B164" s="1">
        <v>72.0</v>
      </c>
      <c r="C164" s="1">
        <v>99700.0</v>
      </c>
      <c r="D164" s="1">
        <v>9.0</v>
      </c>
      <c r="E164" s="1">
        <v>177.0</v>
      </c>
    </row>
    <row r="165">
      <c r="A165" s="2">
        <v>45699.0</v>
      </c>
      <c r="B165" s="1">
        <v>64.0</v>
      </c>
      <c r="C165" s="1">
        <v>127000.0</v>
      </c>
      <c r="D165" s="1">
        <v>11.0</v>
      </c>
      <c r="E165" s="1">
        <v>177.0</v>
      </c>
    </row>
    <row r="166">
      <c r="A166" s="2">
        <v>45700.0</v>
      </c>
      <c r="B166" s="1">
        <v>61.0</v>
      </c>
      <c r="C166" s="1">
        <v>40500.0</v>
      </c>
      <c r="D166" s="1">
        <v>4.0</v>
      </c>
      <c r="E166" s="1">
        <v>177.0</v>
      </c>
    </row>
    <row r="167">
      <c r="A167" s="2">
        <v>45701.0</v>
      </c>
      <c r="B167" s="1">
        <v>63.0</v>
      </c>
      <c r="C167" s="1">
        <v>102600.0</v>
      </c>
      <c r="D167" s="1">
        <v>9.0</v>
      </c>
      <c r="E167" s="1">
        <v>177.0</v>
      </c>
    </row>
    <row r="168">
      <c r="A168" s="2">
        <v>45702.0</v>
      </c>
      <c r="B168" s="1">
        <v>72.0</v>
      </c>
      <c r="C168" s="1">
        <v>141800.0</v>
      </c>
      <c r="D168" s="1">
        <v>13.0</v>
      </c>
      <c r="E168" s="1">
        <v>177.0</v>
      </c>
    </row>
    <row r="169">
      <c r="A169" s="2">
        <v>45703.0</v>
      </c>
      <c r="B169" s="1">
        <v>84.0</v>
      </c>
      <c r="C169" s="1">
        <v>187300.0</v>
      </c>
      <c r="D169" s="1">
        <v>17.0</v>
      </c>
      <c r="E169" s="1">
        <v>177.0</v>
      </c>
    </row>
    <row r="170">
      <c r="A170" s="2">
        <v>45704.0</v>
      </c>
      <c r="B170" s="1">
        <v>79.0</v>
      </c>
      <c r="C170" s="1">
        <v>94400.0</v>
      </c>
      <c r="D170" s="1">
        <v>8.0</v>
      </c>
      <c r="E170" s="1">
        <v>177.0</v>
      </c>
    </row>
    <row r="171">
      <c r="A171" s="2">
        <v>45705.0</v>
      </c>
      <c r="B171" s="1">
        <v>80.0</v>
      </c>
      <c r="C171" s="1">
        <v>137000.0</v>
      </c>
      <c r="D171" s="1">
        <v>12.0</v>
      </c>
      <c r="E171" s="1">
        <v>177.0</v>
      </c>
    </row>
    <row r="172">
      <c r="A172" s="2">
        <v>45706.0</v>
      </c>
      <c r="B172" s="1">
        <v>68.0</v>
      </c>
      <c r="C172" s="1">
        <v>39400.0</v>
      </c>
      <c r="D172" s="1">
        <v>5.0</v>
      </c>
      <c r="E172" s="1">
        <v>177.0</v>
      </c>
    </row>
    <row r="173">
      <c r="A173" s="2">
        <v>45707.0</v>
      </c>
      <c r="B173" s="1">
        <v>65.0</v>
      </c>
      <c r="C173" s="1">
        <v>32600.0</v>
      </c>
      <c r="D173" s="1">
        <v>3.0</v>
      </c>
      <c r="E173" s="1">
        <v>177.0</v>
      </c>
    </row>
    <row r="174">
      <c r="A174" s="2">
        <v>45708.0</v>
      </c>
      <c r="B174" s="1">
        <v>70.0</v>
      </c>
      <c r="C174" s="1">
        <v>98400.0</v>
      </c>
      <c r="D174" s="1">
        <v>10.0</v>
      </c>
      <c r="E174" s="1">
        <v>177.0</v>
      </c>
    </row>
    <row r="175">
      <c r="A175" s="2">
        <v>45709.0</v>
      </c>
      <c r="B175" s="1">
        <v>76.0</v>
      </c>
      <c r="C175" s="1">
        <v>165600.0</v>
      </c>
      <c r="D175" s="1">
        <v>17.0</v>
      </c>
      <c r="E175" s="1">
        <v>177.0</v>
      </c>
    </row>
    <row r="176">
      <c r="A176" s="2">
        <v>45710.0</v>
      </c>
      <c r="B176" s="1">
        <v>85.0</v>
      </c>
      <c r="C176" s="1">
        <v>199900.0</v>
      </c>
      <c r="D176" s="1">
        <v>21.0</v>
      </c>
      <c r="E176" s="1">
        <v>177.0</v>
      </c>
    </row>
    <row r="177">
      <c r="A177" s="2">
        <v>45711.0</v>
      </c>
      <c r="B177" s="1">
        <v>78.0</v>
      </c>
      <c r="C177" s="1">
        <v>46600.0</v>
      </c>
      <c r="D177" s="1">
        <v>5.0</v>
      </c>
      <c r="E177" s="1">
        <v>177.0</v>
      </c>
    </row>
    <row r="178">
      <c r="A178" s="2">
        <v>45712.0</v>
      </c>
      <c r="B178" s="1">
        <v>68.0</v>
      </c>
      <c r="C178" s="1">
        <v>52000.0</v>
      </c>
      <c r="D178" s="1">
        <v>5.0</v>
      </c>
      <c r="E178" s="1">
        <v>177.0</v>
      </c>
    </row>
    <row r="179">
      <c r="A179" s="2">
        <v>45713.0</v>
      </c>
      <c r="B179" s="1">
        <v>58.0</v>
      </c>
      <c r="C179" s="1">
        <v>119100.0</v>
      </c>
      <c r="D179" s="1">
        <v>10.0</v>
      </c>
      <c r="E179" s="1">
        <v>177.0</v>
      </c>
    </row>
    <row r="180">
      <c r="A180" s="2">
        <v>45714.0</v>
      </c>
      <c r="B180" s="1">
        <v>53.0</v>
      </c>
      <c r="C180" s="1">
        <v>122200.0</v>
      </c>
      <c r="D180" s="1">
        <v>10.0</v>
      </c>
      <c r="E180" s="1">
        <v>177.0</v>
      </c>
    </row>
    <row r="181">
      <c r="A181" s="2">
        <v>45715.0</v>
      </c>
      <c r="B181" s="1">
        <v>66.0</v>
      </c>
      <c r="C181" s="1">
        <v>151600.0</v>
      </c>
      <c r="D181" s="1">
        <v>14.0</v>
      </c>
      <c r="E181" s="1">
        <v>177.0</v>
      </c>
    </row>
    <row r="182">
      <c r="A182" s="2">
        <v>45716.0</v>
      </c>
      <c r="B182" s="1">
        <v>87.0</v>
      </c>
      <c r="C182" s="1">
        <v>223800.0</v>
      </c>
      <c r="D182" s="1">
        <v>23.0</v>
      </c>
      <c r="E182" s="1">
        <v>177.0</v>
      </c>
    </row>
    <row r="183">
      <c r="A183" s="2">
        <v>45717.0</v>
      </c>
      <c r="B183" s="1">
        <v>96.0</v>
      </c>
      <c r="C183" s="1">
        <v>169200.0</v>
      </c>
      <c r="D183" s="1">
        <v>16.0</v>
      </c>
      <c r="E183" s="1">
        <v>177.0</v>
      </c>
    </row>
    <row r="184">
      <c r="A184" s="2">
        <v>45718.0</v>
      </c>
      <c r="B184" s="1">
        <v>96.0</v>
      </c>
      <c r="C184" s="1">
        <v>107800.0</v>
      </c>
      <c r="D184" s="1">
        <v>8.0</v>
      </c>
      <c r="E184" s="1">
        <v>177.0</v>
      </c>
    </row>
    <row r="185">
      <c r="A185" s="2">
        <v>45719.0</v>
      </c>
      <c r="B185" s="1">
        <v>93.0</v>
      </c>
      <c r="C185" s="1">
        <v>170800.0</v>
      </c>
      <c r="D185" s="1">
        <v>18.0</v>
      </c>
      <c r="E185" s="1">
        <v>177.0</v>
      </c>
    </row>
    <row r="186">
      <c r="A186" s="2">
        <v>45720.0</v>
      </c>
      <c r="B186" s="1">
        <v>87.0</v>
      </c>
      <c r="C186" s="1">
        <v>126600.0</v>
      </c>
      <c r="D186" s="1">
        <v>11.0</v>
      </c>
      <c r="E186" s="1">
        <v>177.0</v>
      </c>
    </row>
    <row r="187">
      <c r="A187" s="2">
        <v>45721.0</v>
      </c>
      <c r="B187" s="1">
        <v>81.0</v>
      </c>
      <c r="C187" s="1">
        <v>110000.0</v>
      </c>
      <c r="D187" s="1">
        <v>10.0</v>
      </c>
      <c r="E187" s="1">
        <v>177.0</v>
      </c>
    </row>
    <row r="188">
      <c r="A188" s="2">
        <v>45722.0</v>
      </c>
      <c r="B188" s="1">
        <v>93.0</v>
      </c>
      <c r="C188" s="1">
        <v>195400.0</v>
      </c>
      <c r="D188" s="1">
        <v>19.0</v>
      </c>
      <c r="E188" s="1">
        <v>177.0</v>
      </c>
    </row>
    <row r="189">
      <c r="A189" s="2">
        <v>45723.0</v>
      </c>
      <c r="B189" s="1">
        <v>107.0</v>
      </c>
      <c r="C189" s="1">
        <v>324800.0</v>
      </c>
      <c r="D189" s="1">
        <v>28.0</v>
      </c>
      <c r="E189" s="1">
        <v>177.0</v>
      </c>
    </row>
    <row r="190">
      <c r="A190" s="2">
        <v>45724.0</v>
      </c>
      <c r="B190" s="1">
        <v>118.0</v>
      </c>
      <c r="C190" s="1">
        <v>189000.0</v>
      </c>
      <c r="D190" s="1">
        <v>18.0</v>
      </c>
      <c r="E190" s="1">
        <v>177.0</v>
      </c>
    </row>
    <row r="191">
      <c r="A191" s="2">
        <v>45725.0</v>
      </c>
      <c r="B191" s="1">
        <v>112.0</v>
      </c>
      <c r="C191" s="1">
        <v>153700.0</v>
      </c>
      <c r="D191" s="1">
        <v>12.0</v>
      </c>
      <c r="E191" s="1">
        <v>177.0</v>
      </c>
    </row>
    <row r="192">
      <c r="A192" s="2">
        <v>45726.0</v>
      </c>
      <c r="B192" s="1">
        <v>104.0</v>
      </c>
      <c r="C192" s="1">
        <v>153600.0</v>
      </c>
      <c r="D192" s="1">
        <v>16.0</v>
      </c>
      <c r="E192" s="1">
        <v>177.0</v>
      </c>
    </row>
    <row r="193">
      <c r="A193" s="2">
        <v>45727.0</v>
      </c>
      <c r="B193" s="1">
        <v>93.0</v>
      </c>
      <c r="C193" s="1">
        <v>132600.0</v>
      </c>
      <c r="D193" s="1">
        <v>11.0</v>
      </c>
      <c r="E193" s="1">
        <v>177.0</v>
      </c>
    </row>
    <row r="194">
      <c r="A194" s="2">
        <v>45728.0</v>
      </c>
      <c r="B194" s="1">
        <v>100.0</v>
      </c>
      <c r="C194" s="1">
        <v>235100.0</v>
      </c>
      <c r="D194" s="1">
        <v>24.0</v>
      </c>
      <c r="E194" s="1">
        <v>177.0</v>
      </c>
    </row>
    <row r="195">
      <c r="A195" s="2">
        <v>45729.0</v>
      </c>
      <c r="B195" s="1">
        <v>112.0</v>
      </c>
      <c r="C195" s="1">
        <v>261200.0</v>
      </c>
      <c r="D195" s="1">
        <v>25.0</v>
      </c>
      <c r="E195" s="1">
        <v>177.0</v>
      </c>
    </row>
    <row r="196">
      <c r="A196" s="2">
        <v>45730.0</v>
      </c>
      <c r="B196" s="1">
        <v>123.0</v>
      </c>
      <c r="C196" s="1">
        <v>207000.0</v>
      </c>
      <c r="D196" s="1">
        <v>20.0</v>
      </c>
      <c r="E196" s="1">
        <v>177.0</v>
      </c>
    </row>
    <row r="197">
      <c r="A197" s="2">
        <v>45731.0</v>
      </c>
      <c r="B197" s="1">
        <v>129.0</v>
      </c>
      <c r="C197" s="1">
        <v>245700.0</v>
      </c>
      <c r="D197" s="1">
        <v>24.0</v>
      </c>
      <c r="E197" s="1">
        <v>177.0</v>
      </c>
    </row>
    <row r="198">
      <c r="A198" s="2">
        <v>45732.0</v>
      </c>
      <c r="B198" s="1">
        <v>124.0</v>
      </c>
      <c r="C198" s="1">
        <v>115800.0</v>
      </c>
      <c r="D198" s="1">
        <v>12.0</v>
      </c>
      <c r="E198" s="1">
        <v>177.0</v>
      </c>
    </row>
    <row r="199">
      <c r="A199" s="2">
        <v>45733.0</v>
      </c>
      <c r="B199" s="1">
        <v>104.0</v>
      </c>
      <c r="C199" s="1">
        <v>109800.0</v>
      </c>
      <c r="D199" s="1">
        <v>11.0</v>
      </c>
      <c r="E199" s="1">
        <v>177.0</v>
      </c>
    </row>
    <row r="200">
      <c r="A200" s="2">
        <v>45734.0</v>
      </c>
      <c r="B200" s="1">
        <v>91.0</v>
      </c>
      <c r="C200" s="1">
        <v>149600.0</v>
      </c>
      <c r="D200" s="1">
        <v>14.0</v>
      </c>
      <c r="E200" s="1">
        <v>177.0</v>
      </c>
    </row>
    <row r="201">
      <c r="A201" s="2">
        <v>45735.0</v>
      </c>
      <c r="B201" s="1">
        <v>90.0</v>
      </c>
      <c r="C201" s="1">
        <v>164000.0</v>
      </c>
      <c r="D201" s="1">
        <v>17.0</v>
      </c>
      <c r="E201" s="1">
        <v>177.0</v>
      </c>
    </row>
    <row r="202">
      <c r="A202" s="2">
        <v>45736.0</v>
      </c>
      <c r="B202" s="1">
        <v>104.0</v>
      </c>
      <c r="C202" s="1">
        <v>264400.0</v>
      </c>
      <c r="D202" s="1">
        <v>26.0</v>
      </c>
      <c r="E202" s="1">
        <v>177.0</v>
      </c>
    </row>
    <row r="203">
      <c r="A203" s="2">
        <v>45737.0</v>
      </c>
      <c r="B203" s="1">
        <v>115.0</v>
      </c>
      <c r="C203" s="1">
        <v>170400.0</v>
      </c>
      <c r="D203" s="1">
        <v>18.0</v>
      </c>
      <c r="E203" s="1">
        <v>177.0</v>
      </c>
    </row>
    <row r="204">
      <c r="A204" s="2">
        <v>45738.0</v>
      </c>
      <c r="B204" s="1">
        <v>123.0</v>
      </c>
      <c r="C204" s="1">
        <v>209300.0</v>
      </c>
      <c r="D204" s="1">
        <v>18.0</v>
      </c>
      <c r="E204" s="1">
        <v>177.0</v>
      </c>
    </row>
    <row r="205">
      <c r="A205" s="2">
        <v>45739.0</v>
      </c>
      <c r="B205" s="1">
        <v>119.0</v>
      </c>
      <c r="C205" s="1">
        <v>170300.0</v>
      </c>
      <c r="D205" s="1">
        <v>13.0</v>
      </c>
      <c r="E205" s="1">
        <v>177.0</v>
      </c>
    </row>
    <row r="206">
      <c r="A206" s="2">
        <v>45740.0</v>
      </c>
      <c r="B206" s="1">
        <v>115.0</v>
      </c>
      <c r="C206" s="1">
        <v>264600.0</v>
      </c>
      <c r="D206" s="1">
        <v>25.0</v>
      </c>
      <c r="E206" s="1">
        <v>177.0</v>
      </c>
    </row>
    <row r="207">
      <c r="A207" s="2">
        <v>45741.0</v>
      </c>
      <c r="B207" s="1">
        <v>114.0</v>
      </c>
      <c r="C207" s="1">
        <v>121800.0</v>
      </c>
      <c r="D207" s="1">
        <v>13.0</v>
      </c>
      <c r="E207" s="1">
        <v>177.0</v>
      </c>
    </row>
    <row r="208">
      <c r="A208" s="2">
        <v>45742.0</v>
      </c>
      <c r="B208" s="1">
        <v>94.0</v>
      </c>
      <c r="C208" s="1">
        <v>79200.0</v>
      </c>
      <c r="D208" s="1">
        <v>8.0</v>
      </c>
      <c r="E208" s="1">
        <v>177.0</v>
      </c>
    </row>
    <row r="209">
      <c r="A209" s="2">
        <v>45743.0</v>
      </c>
      <c r="B209" s="1">
        <v>96.0</v>
      </c>
      <c r="C209" s="1">
        <v>136400.0</v>
      </c>
      <c r="D209" s="1">
        <v>14.0</v>
      </c>
      <c r="E209" s="1">
        <v>177.0</v>
      </c>
    </row>
    <row r="210">
      <c r="A210" s="2">
        <v>45744.0</v>
      </c>
      <c r="B210" s="1">
        <v>105.0</v>
      </c>
      <c r="C210" s="1">
        <v>224400.0</v>
      </c>
      <c r="D210" s="1">
        <v>24.0</v>
      </c>
      <c r="E210" s="1">
        <v>177.0</v>
      </c>
    </row>
    <row r="211">
      <c r="A211" s="2">
        <v>45745.0</v>
      </c>
      <c r="B211" s="1">
        <v>113.0</v>
      </c>
      <c r="C211" s="1">
        <v>187200.0</v>
      </c>
      <c r="D211" s="1">
        <v>22.0</v>
      </c>
      <c r="E211" s="1">
        <v>177.0</v>
      </c>
    </row>
    <row r="212">
      <c r="A212" s="2">
        <v>45746.0</v>
      </c>
      <c r="B212" s="1">
        <v>102.0</v>
      </c>
      <c r="C212" s="1">
        <v>130400.0</v>
      </c>
      <c r="D212" s="1">
        <v>12.0</v>
      </c>
      <c r="E212" s="1">
        <v>177.0</v>
      </c>
    </row>
    <row r="213">
      <c r="A213" s="2">
        <v>45747.0</v>
      </c>
      <c r="B213" s="1">
        <v>95.0</v>
      </c>
      <c r="C213" s="1">
        <v>124200.0</v>
      </c>
      <c r="D213" s="1">
        <v>13.0</v>
      </c>
      <c r="E213" s="1">
        <v>177.0</v>
      </c>
    </row>
    <row r="214">
      <c r="A214" s="2">
        <v>45748.0</v>
      </c>
      <c r="B214" s="1">
        <v>87.0</v>
      </c>
      <c r="C214" s="1">
        <v>159400.0</v>
      </c>
      <c r="D214" s="1">
        <v>20.0</v>
      </c>
      <c r="E214" s="1">
        <v>177.0</v>
      </c>
    </row>
    <row r="215">
      <c r="A215" s="2">
        <v>45749.0</v>
      </c>
      <c r="B215" s="1">
        <v>89.0</v>
      </c>
      <c r="C215" s="1">
        <v>214700.0</v>
      </c>
      <c r="D215" s="1">
        <v>22.0</v>
      </c>
      <c r="E215" s="1">
        <v>177.0</v>
      </c>
    </row>
    <row r="216">
      <c r="A216" s="2">
        <v>45750.0</v>
      </c>
      <c r="B216" s="1">
        <v>95.0</v>
      </c>
      <c r="C216" s="1">
        <v>259300.0</v>
      </c>
      <c r="D216" s="1">
        <v>23.0</v>
      </c>
      <c r="E216" s="1">
        <v>177.0</v>
      </c>
    </row>
    <row r="217">
      <c r="A217" s="2">
        <v>45751.0</v>
      </c>
      <c r="B217" s="1">
        <v>112.0</v>
      </c>
      <c r="C217" s="1">
        <v>265400.0</v>
      </c>
      <c r="D217" s="1">
        <v>28.0</v>
      </c>
      <c r="E217" s="1">
        <v>177.0</v>
      </c>
    </row>
    <row r="218">
      <c r="A218" s="2">
        <v>45752.0</v>
      </c>
      <c r="B218" s="1">
        <v>117.0</v>
      </c>
      <c r="C218" s="1">
        <v>162300.0</v>
      </c>
      <c r="D218" s="1">
        <v>20.0</v>
      </c>
      <c r="E218" s="1">
        <v>177.0</v>
      </c>
    </row>
    <row r="219">
      <c r="A219" s="2">
        <v>45753.0</v>
      </c>
      <c r="B219" s="1">
        <v>119.0</v>
      </c>
      <c r="C219" s="1">
        <v>194700.0</v>
      </c>
      <c r="D219" s="1">
        <v>22.0</v>
      </c>
      <c r="E219" s="1">
        <v>177.0</v>
      </c>
    </row>
    <row r="220">
      <c r="A220" s="2">
        <v>45754.0</v>
      </c>
      <c r="B220" s="1">
        <v>110.0</v>
      </c>
      <c r="C220" s="1">
        <v>115300.0</v>
      </c>
      <c r="D220" s="1">
        <v>17.0</v>
      </c>
      <c r="E220" s="1">
        <v>177.0</v>
      </c>
    </row>
    <row r="221">
      <c r="A221" s="2">
        <v>45755.0</v>
      </c>
      <c r="B221" s="1">
        <v>109.0</v>
      </c>
      <c r="C221" s="1">
        <v>225000.0</v>
      </c>
      <c r="D221" s="1">
        <v>23.0</v>
      </c>
      <c r="E221" s="1">
        <v>177.0</v>
      </c>
    </row>
    <row r="222">
      <c r="A222" s="2">
        <v>45756.0</v>
      </c>
      <c r="B222" s="1">
        <v>110.0</v>
      </c>
      <c r="C222" s="1">
        <v>248100.0</v>
      </c>
      <c r="D222" s="1">
        <v>25.0</v>
      </c>
      <c r="E222" s="1">
        <v>177.0</v>
      </c>
    </row>
    <row r="223">
      <c r="A223" s="2">
        <v>45757.0</v>
      </c>
      <c r="B223" s="1">
        <v>122.0</v>
      </c>
      <c r="C223" s="1">
        <v>268900.0</v>
      </c>
      <c r="D223" s="1">
        <v>29.0</v>
      </c>
      <c r="E223" s="1">
        <v>177.0</v>
      </c>
    </row>
    <row r="224">
      <c r="A224" s="2">
        <v>45758.0</v>
      </c>
      <c r="B224" s="1">
        <v>139.0</v>
      </c>
      <c r="C224" s="1">
        <v>272800.0</v>
      </c>
      <c r="D224" s="1">
        <v>30.0</v>
      </c>
      <c r="E224" s="1">
        <v>177.0</v>
      </c>
    </row>
    <row r="225">
      <c r="A225" s="2">
        <v>45759.0</v>
      </c>
      <c r="B225" s="1">
        <v>164.0</v>
      </c>
      <c r="C225" s="1">
        <v>380800.0</v>
      </c>
      <c r="D225" s="1">
        <v>34.0</v>
      </c>
      <c r="E225" s="1">
        <v>177.0</v>
      </c>
    </row>
    <row r="226">
      <c r="A226" s="2">
        <v>45760.0</v>
      </c>
      <c r="B226" s="1">
        <v>164.0</v>
      </c>
      <c r="C226" s="1">
        <v>213500.0</v>
      </c>
      <c r="D226" s="1">
        <v>21.0</v>
      </c>
      <c r="E226" s="1">
        <v>177.0</v>
      </c>
    </row>
    <row r="227">
      <c r="A227" s="2">
        <v>45761.0</v>
      </c>
      <c r="B227" s="1">
        <v>147.0</v>
      </c>
      <c r="C227" s="1">
        <v>144600.0</v>
      </c>
      <c r="D227" s="1">
        <v>12.0</v>
      </c>
      <c r="E227" s="1">
        <v>177.0</v>
      </c>
    </row>
    <row r="228">
      <c r="A228" s="2">
        <v>45762.0</v>
      </c>
      <c r="B228" s="1">
        <v>150.0</v>
      </c>
      <c r="C228" s="1">
        <v>209300.0</v>
      </c>
      <c r="D228" s="1">
        <v>21.0</v>
      </c>
      <c r="E228" s="1">
        <v>177.0</v>
      </c>
    </row>
    <row r="229">
      <c r="A229" s="2">
        <v>45763.0</v>
      </c>
      <c r="B229" s="1">
        <v>157.0</v>
      </c>
      <c r="C229" s="1">
        <v>335700.0</v>
      </c>
      <c r="D229" s="1">
        <v>32.0</v>
      </c>
      <c r="E229" s="1">
        <v>177.0</v>
      </c>
    </row>
    <row r="230">
      <c r="A230" s="2">
        <v>45764.0</v>
      </c>
      <c r="B230" s="1">
        <v>165.0</v>
      </c>
      <c r="C230" s="1">
        <v>290200.0</v>
      </c>
      <c r="D230" s="1">
        <v>27.0</v>
      </c>
      <c r="E230" s="1">
        <v>177.0</v>
      </c>
    </row>
    <row r="231">
      <c r="A231" s="2">
        <v>45765.0</v>
      </c>
      <c r="B231" s="1">
        <v>193.0</v>
      </c>
      <c r="C231" s="1">
        <v>351500.0</v>
      </c>
      <c r="D231" s="1">
        <v>38.0</v>
      </c>
      <c r="E231" s="1">
        <v>177.0</v>
      </c>
    </row>
    <row r="232">
      <c r="A232" s="2">
        <v>45766.0</v>
      </c>
      <c r="B232" s="1">
        <v>212.0</v>
      </c>
      <c r="C232" s="1">
        <v>338000.0</v>
      </c>
      <c r="D232" s="1">
        <v>35.0</v>
      </c>
      <c r="E232" s="1">
        <v>177.0</v>
      </c>
    </row>
    <row r="233">
      <c r="A233" s="2">
        <v>45767.0</v>
      </c>
      <c r="B233" s="1">
        <v>215.0</v>
      </c>
      <c r="C233" s="1">
        <v>250000.0</v>
      </c>
      <c r="D233" s="1">
        <v>24.0</v>
      </c>
      <c r="E233" s="1">
        <v>177.0</v>
      </c>
    </row>
    <row r="234">
      <c r="A234" s="2">
        <v>45768.0</v>
      </c>
      <c r="B234" s="1">
        <v>187.0</v>
      </c>
      <c r="C234" s="1">
        <v>162700.0</v>
      </c>
      <c r="D234" s="1">
        <v>14.0</v>
      </c>
      <c r="E234" s="1">
        <v>177.0</v>
      </c>
    </row>
    <row r="235">
      <c r="A235" s="2">
        <v>45769.0</v>
      </c>
      <c r="B235" s="1">
        <v>172.0</v>
      </c>
      <c r="C235" s="1">
        <v>192100.0</v>
      </c>
      <c r="D235" s="1">
        <v>20.0</v>
      </c>
      <c r="E235" s="1">
        <v>177.0</v>
      </c>
    </row>
    <row r="236">
      <c r="A236" s="2">
        <v>45770.0</v>
      </c>
      <c r="B236" s="1">
        <v>172.0</v>
      </c>
      <c r="C236" s="1">
        <v>268700.0</v>
      </c>
      <c r="D236" s="1">
        <v>30.0</v>
      </c>
      <c r="E236" s="1">
        <v>177.0</v>
      </c>
    </row>
    <row r="237">
      <c r="A237" s="2">
        <v>45771.0</v>
      </c>
      <c r="B237" s="1">
        <v>168.0</v>
      </c>
      <c r="C237" s="1">
        <v>234600.0</v>
      </c>
      <c r="D237" s="1">
        <v>25.0</v>
      </c>
      <c r="E237" s="1">
        <v>177.0</v>
      </c>
    </row>
    <row r="238">
      <c r="A238" s="2">
        <v>45772.0</v>
      </c>
      <c r="B238" s="1">
        <v>182.0</v>
      </c>
      <c r="C238" s="1">
        <v>334600.0</v>
      </c>
      <c r="D238" s="1">
        <v>43.0</v>
      </c>
      <c r="E238" s="1">
        <v>177.0</v>
      </c>
    </row>
    <row r="239">
      <c r="A239" s="2">
        <v>45773.0</v>
      </c>
      <c r="B239" s="1">
        <v>179.0</v>
      </c>
      <c r="C239" s="1">
        <v>191900.0</v>
      </c>
      <c r="D239" s="1">
        <v>18.0</v>
      </c>
      <c r="E239" s="1">
        <v>177.0</v>
      </c>
    </row>
    <row r="240">
      <c r="A240" s="2">
        <v>45774.0</v>
      </c>
      <c r="B240" s="1">
        <v>170.0</v>
      </c>
      <c r="C240" s="1">
        <v>221900.0</v>
      </c>
      <c r="D240" s="1">
        <v>23.0</v>
      </c>
      <c r="E240" s="1">
        <v>177.0</v>
      </c>
    </row>
    <row r="241">
      <c r="A241" s="2">
        <v>45775.0</v>
      </c>
      <c r="B241" s="1">
        <v>142.0</v>
      </c>
      <c r="C241" s="1">
        <v>202400.0</v>
      </c>
      <c r="D241" s="1">
        <v>17.0</v>
      </c>
      <c r="E241" s="1">
        <v>177.0</v>
      </c>
    </row>
    <row r="242">
      <c r="A242" s="2">
        <v>45776.0</v>
      </c>
      <c r="B242" s="1">
        <v>154.0</v>
      </c>
      <c r="C242" s="1">
        <v>368000.0</v>
      </c>
      <c r="D242" s="1">
        <v>51.0</v>
      </c>
      <c r="E242" s="1">
        <v>177.0</v>
      </c>
    </row>
    <row r="243">
      <c r="A243" s="2">
        <v>45777.0</v>
      </c>
      <c r="B243" s="1">
        <v>165.0</v>
      </c>
      <c r="C243" s="1">
        <v>358800.0</v>
      </c>
      <c r="D243" s="1">
        <v>41.0</v>
      </c>
      <c r="E243" s="1">
        <v>177.0</v>
      </c>
    </row>
    <row r="244">
      <c r="A244" s="2">
        <v>45778.0</v>
      </c>
      <c r="B244" s="1">
        <v>193.0</v>
      </c>
      <c r="C244" s="1">
        <v>522900.0</v>
      </c>
      <c r="D244" s="1">
        <v>54.0</v>
      </c>
      <c r="E244" s="1">
        <v>177.0</v>
      </c>
    </row>
    <row r="245">
      <c r="A245" s="2">
        <v>45779.0</v>
      </c>
      <c r="B245" s="1">
        <v>243.0</v>
      </c>
      <c r="C245" s="1">
        <v>554800.0</v>
      </c>
      <c r="D245" s="1">
        <v>64.0</v>
      </c>
      <c r="E245" s="1">
        <v>177.0</v>
      </c>
    </row>
    <row r="246">
      <c r="A246" s="2">
        <v>45780.0</v>
      </c>
      <c r="B246" s="1">
        <v>233.0</v>
      </c>
      <c r="C246" s="1">
        <v>178600.0</v>
      </c>
      <c r="D246" s="1">
        <v>20.0</v>
      </c>
      <c r="E246" s="1">
        <v>177.0</v>
      </c>
    </row>
    <row r="247">
      <c r="A247" s="2">
        <v>45781.0</v>
      </c>
      <c r="B247" s="1">
        <v>206.0</v>
      </c>
      <c r="C247" s="1">
        <v>109200.0</v>
      </c>
      <c r="D247" s="1">
        <v>9.0</v>
      </c>
      <c r="E247" s="1">
        <v>177.0</v>
      </c>
    </row>
    <row r="248">
      <c r="A248" s="2">
        <v>45782.0</v>
      </c>
      <c r="B248" s="1">
        <v>172.0</v>
      </c>
      <c r="C248" s="1">
        <v>161500.0</v>
      </c>
      <c r="D248" s="1">
        <v>20.0</v>
      </c>
      <c r="E248" s="1">
        <v>177.0</v>
      </c>
    </row>
    <row r="249">
      <c r="A249" s="2">
        <v>45783.0</v>
      </c>
      <c r="B249" s="1">
        <v>142.0</v>
      </c>
      <c r="C249" s="1">
        <v>261900.0</v>
      </c>
      <c r="D249" s="1">
        <v>28.0</v>
      </c>
      <c r="E249" s="1">
        <v>177.0</v>
      </c>
    </row>
    <row r="250">
      <c r="A250" s="2">
        <v>45784.0</v>
      </c>
      <c r="B250" s="1">
        <v>155.0</v>
      </c>
      <c r="C250" s="1">
        <v>339700.0</v>
      </c>
      <c r="D250" s="1">
        <v>37.0</v>
      </c>
      <c r="E250" s="1">
        <v>177.0</v>
      </c>
    </row>
    <row r="251">
      <c r="A251" s="2">
        <v>45785.0</v>
      </c>
      <c r="B251" s="1">
        <v>158.0</v>
      </c>
      <c r="C251" s="1">
        <v>337100.0</v>
      </c>
      <c r="D251" s="1">
        <v>35.0</v>
      </c>
      <c r="E251" s="1">
        <v>177.0</v>
      </c>
    </row>
    <row r="252">
      <c r="A252" s="2">
        <v>45786.0</v>
      </c>
      <c r="B252" s="1">
        <v>195.0</v>
      </c>
      <c r="C252" s="1">
        <v>503000.0</v>
      </c>
      <c r="D252" s="1">
        <v>59.0</v>
      </c>
      <c r="E252" s="1">
        <v>177.0</v>
      </c>
    </row>
    <row r="253">
      <c r="A253" s="2">
        <v>45787.0</v>
      </c>
      <c r="B253" s="1">
        <v>211.0</v>
      </c>
      <c r="C253" s="1">
        <v>300200.0</v>
      </c>
      <c r="D253" s="1">
        <v>32.0</v>
      </c>
      <c r="E253" s="1">
        <v>177.0</v>
      </c>
    </row>
    <row r="254">
      <c r="A254" s="2">
        <v>45788.0</v>
      </c>
      <c r="B254" s="1">
        <v>198.0</v>
      </c>
      <c r="C254" s="1">
        <v>225200.0</v>
      </c>
      <c r="D254" s="1">
        <v>27.0</v>
      </c>
      <c r="E254" s="1">
        <v>177.0</v>
      </c>
    </row>
    <row r="255">
      <c r="A255" s="2">
        <v>45789.0</v>
      </c>
      <c r="B255" s="1">
        <v>186.0</v>
      </c>
      <c r="C255" s="1">
        <v>210200.0</v>
      </c>
      <c r="D255" s="1">
        <v>19.0</v>
      </c>
      <c r="E255" s="1">
        <v>177.0</v>
      </c>
    </row>
    <row r="256">
      <c r="A256" s="2">
        <v>45790.0</v>
      </c>
      <c r="B256" s="1">
        <v>177.0</v>
      </c>
      <c r="C256" s="1">
        <v>312200.0</v>
      </c>
      <c r="D256" s="1">
        <v>40.0</v>
      </c>
      <c r="E256" s="1">
        <v>177.0</v>
      </c>
    </row>
    <row r="257">
      <c r="A257" s="2">
        <v>45791.0</v>
      </c>
      <c r="B257" s="1">
        <v>193.0</v>
      </c>
      <c r="C257" s="1">
        <v>497000.0</v>
      </c>
      <c r="D257" s="1">
        <v>59.0</v>
      </c>
      <c r="E257" s="1">
        <v>177.0</v>
      </c>
    </row>
    <row r="258">
      <c r="A258" s="2">
        <v>45792.0</v>
      </c>
      <c r="B258" s="1">
        <v>199.0</v>
      </c>
      <c r="C258" s="1">
        <v>369000.0</v>
      </c>
      <c r="D258" s="1">
        <v>43.0</v>
      </c>
      <c r="E258" s="1">
        <v>177.0</v>
      </c>
    </row>
    <row r="259">
      <c r="A259" s="2">
        <v>45793.0</v>
      </c>
      <c r="B259" s="1">
        <v>213.0</v>
      </c>
      <c r="C259" s="1">
        <v>326600.0</v>
      </c>
      <c r="D259" s="1">
        <v>37.0</v>
      </c>
      <c r="E259" s="1">
        <v>177.0</v>
      </c>
    </row>
    <row r="260">
      <c r="A260" s="2">
        <v>45794.0</v>
      </c>
      <c r="B260" s="1">
        <v>227.0</v>
      </c>
      <c r="C260" s="1">
        <v>364000.0</v>
      </c>
      <c r="D260" s="1">
        <v>39.0</v>
      </c>
      <c r="E260" s="1">
        <v>177.0</v>
      </c>
    </row>
    <row r="261">
      <c r="A261" s="2">
        <v>45795.0</v>
      </c>
      <c r="B261" s="1">
        <v>233.0</v>
      </c>
      <c r="C261" s="1">
        <v>347600.0</v>
      </c>
      <c r="D261" s="1">
        <v>35.0</v>
      </c>
      <c r="E261" s="1">
        <v>177.0</v>
      </c>
    </row>
    <row r="262">
      <c r="A262" s="2">
        <v>45796.0</v>
      </c>
      <c r="B262" s="1">
        <v>190.0</v>
      </c>
      <c r="C262" s="1">
        <v>144600.0</v>
      </c>
      <c r="D262" s="1">
        <v>20.0</v>
      </c>
      <c r="E262" s="1">
        <v>177.0</v>
      </c>
    </row>
    <row r="263">
      <c r="A263" s="2">
        <v>45797.0</v>
      </c>
      <c r="B263" s="1">
        <v>181.0</v>
      </c>
      <c r="C263" s="1">
        <v>259500.0</v>
      </c>
      <c r="D263" s="1">
        <v>28.0</v>
      </c>
      <c r="E263" s="1">
        <v>177.0</v>
      </c>
    </row>
    <row r="264">
      <c r="A264" s="2">
        <v>45798.0</v>
      </c>
      <c r="B264" s="1">
        <v>190.0</v>
      </c>
      <c r="C264" s="1">
        <v>401200.0</v>
      </c>
      <c r="D264" s="1">
        <v>39.0</v>
      </c>
      <c r="E264" s="1">
        <v>177.0</v>
      </c>
    </row>
    <row r="265">
      <c r="A265" s="2">
        <v>45799.0</v>
      </c>
      <c r="B265" s="1">
        <v>186.0</v>
      </c>
      <c r="C265" s="1">
        <v>344900.0</v>
      </c>
      <c r="D265" s="1">
        <v>46.0</v>
      </c>
      <c r="E265" s="1">
        <v>177.0</v>
      </c>
    </row>
    <row r="266">
      <c r="A266" s="2">
        <v>45800.0</v>
      </c>
      <c r="B266" s="1">
        <v>202.0</v>
      </c>
      <c r="C266" s="1">
        <v>323800.0</v>
      </c>
      <c r="D266" s="1">
        <v>38.0</v>
      </c>
      <c r="E266" s="1">
        <v>177.0</v>
      </c>
    </row>
    <row r="267">
      <c r="A267" s="2">
        <v>45801.0</v>
      </c>
      <c r="B267" s="1">
        <v>215.0</v>
      </c>
      <c r="C267" s="1">
        <v>416600.0</v>
      </c>
      <c r="D267" s="1">
        <v>43.0</v>
      </c>
      <c r="E267" s="1">
        <v>177.0</v>
      </c>
    </row>
    <row r="268">
      <c r="A268" s="2">
        <v>45802.0</v>
      </c>
      <c r="B268" s="1">
        <v>218.0</v>
      </c>
      <c r="C268" s="1">
        <v>235000.0</v>
      </c>
      <c r="D268" s="1">
        <v>26.0</v>
      </c>
      <c r="E268" s="1">
        <v>177.0</v>
      </c>
    </row>
    <row r="269">
      <c r="A269" s="2">
        <v>45803.0</v>
      </c>
      <c r="B269" s="1">
        <v>196.0</v>
      </c>
      <c r="C269" s="1">
        <v>239300.0</v>
      </c>
      <c r="D269" s="1">
        <v>35.0</v>
      </c>
      <c r="E269" s="1">
        <v>177.0</v>
      </c>
    </row>
    <row r="270">
      <c r="A270" s="2">
        <v>45804.0</v>
      </c>
      <c r="B270" s="1">
        <v>172.0</v>
      </c>
      <c r="C270" s="1">
        <v>228300.0</v>
      </c>
      <c r="D270" s="1">
        <v>28.0</v>
      </c>
      <c r="E270" s="1">
        <v>177.0</v>
      </c>
    </row>
    <row r="271">
      <c r="A271" s="2">
        <v>45805.0</v>
      </c>
      <c r="B271" s="1">
        <v>180.0</v>
      </c>
      <c r="C271" s="1">
        <v>334200.0</v>
      </c>
      <c r="D271" s="1">
        <v>36.0</v>
      </c>
      <c r="E271" s="1">
        <v>177.0</v>
      </c>
    </row>
    <row r="272">
      <c r="A272" s="2">
        <v>45806.0</v>
      </c>
      <c r="B272" s="1">
        <v>169.0</v>
      </c>
      <c r="C272" s="1">
        <v>217300.0</v>
      </c>
      <c r="D272" s="1">
        <v>23.0</v>
      </c>
      <c r="E272" s="1">
        <v>177.0</v>
      </c>
    </row>
    <row r="273">
      <c r="A273" s="2">
        <v>45807.0</v>
      </c>
      <c r="B273" s="1">
        <v>176.0</v>
      </c>
      <c r="C273" s="1">
        <v>218300.0</v>
      </c>
      <c r="D273" s="1">
        <v>33.0</v>
      </c>
      <c r="E273" s="1">
        <v>177.0</v>
      </c>
    </row>
    <row r="274">
      <c r="A274" s="2">
        <v>45808.0</v>
      </c>
      <c r="B274" s="1">
        <v>176.0</v>
      </c>
      <c r="C274" s="1">
        <v>292100.0</v>
      </c>
      <c r="D274" s="1">
        <v>30.0</v>
      </c>
      <c r="E274" s="1">
        <v>177.0</v>
      </c>
    </row>
    <row r="275">
      <c r="A275" s="2">
        <v>45809.0</v>
      </c>
      <c r="B275" s="1">
        <v>179.0</v>
      </c>
      <c r="C275" s="1">
        <v>249500.0</v>
      </c>
      <c r="D275" s="1">
        <v>28.0</v>
      </c>
      <c r="E275" s="1">
        <v>177.0</v>
      </c>
    </row>
    <row r="276">
      <c r="A276" s="2">
        <v>45810.0</v>
      </c>
      <c r="B276" s="1">
        <v>158.0</v>
      </c>
      <c r="C276" s="1">
        <v>273500.0</v>
      </c>
      <c r="D276" s="1">
        <v>25.0</v>
      </c>
      <c r="E276" s="1">
        <v>177.0</v>
      </c>
    </row>
    <row r="277">
      <c r="A277" s="2">
        <v>45811.0</v>
      </c>
      <c r="B277" s="1">
        <v>154.0</v>
      </c>
      <c r="C277" s="1">
        <v>187500.0</v>
      </c>
      <c r="D277" s="1">
        <v>19.0</v>
      </c>
      <c r="E277" s="1">
        <v>177.0</v>
      </c>
    </row>
    <row r="278">
      <c r="A278" s="2">
        <v>45812.0</v>
      </c>
      <c r="B278" s="1">
        <v>157.0</v>
      </c>
      <c r="C278" s="1">
        <v>350000.0</v>
      </c>
      <c r="D278" s="1">
        <v>38.0</v>
      </c>
      <c r="E278" s="1">
        <v>177.0</v>
      </c>
    </row>
    <row r="279">
      <c r="A279" s="2">
        <v>45813.0</v>
      </c>
      <c r="B279" s="1">
        <v>178.0</v>
      </c>
      <c r="C279" s="1">
        <v>305800.0</v>
      </c>
      <c r="D279" s="1">
        <v>36.0</v>
      </c>
      <c r="E279" s="1">
        <v>177.0</v>
      </c>
    </row>
    <row r="280">
      <c r="A280" s="2">
        <v>45814.0</v>
      </c>
      <c r="B280" s="1">
        <v>204.0</v>
      </c>
      <c r="C280" s="1">
        <v>402400.0</v>
      </c>
      <c r="D280" s="1">
        <v>51.0</v>
      </c>
      <c r="E280" s="1">
        <v>177.0</v>
      </c>
    </row>
    <row r="281">
      <c r="A281" s="2">
        <v>45815.0</v>
      </c>
      <c r="B281" s="1">
        <v>230.0</v>
      </c>
      <c r="C281" s="1">
        <v>468200.0</v>
      </c>
      <c r="D281" s="1">
        <v>57.0</v>
      </c>
      <c r="E281" s="1">
        <v>290.0</v>
      </c>
    </row>
    <row r="282">
      <c r="A282" s="2">
        <v>45816.0</v>
      </c>
      <c r="B282" s="1">
        <v>240.0</v>
      </c>
      <c r="C282" s="1">
        <v>457700.0</v>
      </c>
      <c r="D282" s="1">
        <v>39.0</v>
      </c>
      <c r="E282" s="1">
        <v>290.0</v>
      </c>
    </row>
    <row r="283">
      <c r="A283" s="2">
        <v>45817.0</v>
      </c>
      <c r="B283" s="1">
        <v>219.0</v>
      </c>
      <c r="C283" s="1">
        <v>236400.0</v>
      </c>
      <c r="D283" s="1">
        <v>22.0</v>
      </c>
      <c r="E283" s="1">
        <v>290.0</v>
      </c>
    </row>
    <row r="284">
      <c r="A284" s="2">
        <v>45818.0</v>
      </c>
      <c r="B284" s="1">
        <v>219.0</v>
      </c>
      <c r="C284" s="1">
        <v>375900.0</v>
      </c>
      <c r="D284" s="1">
        <v>47.0</v>
      </c>
      <c r="E284" s="1">
        <v>290.0</v>
      </c>
    </row>
    <row r="285">
      <c r="A285" s="2">
        <v>45819.0</v>
      </c>
      <c r="B285" s="1">
        <v>222.0</v>
      </c>
      <c r="C285" s="1">
        <v>406100.0</v>
      </c>
      <c r="D285" s="1">
        <v>43.0</v>
      </c>
      <c r="E285" s="1">
        <v>290.0</v>
      </c>
    </row>
    <row r="286">
      <c r="A286" s="2">
        <v>45820.0</v>
      </c>
      <c r="B286" s="1">
        <v>226.0</v>
      </c>
      <c r="C286" s="1">
        <v>424100.0</v>
      </c>
      <c r="D286" s="1">
        <v>44.0</v>
      </c>
      <c r="E286" s="1">
        <v>290.0</v>
      </c>
    </row>
    <row r="287">
      <c r="A287" s="2">
        <v>45821.0</v>
      </c>
      <c r="B287" s="1">
        <v>237.0</v>
      </c>
      <c r="C287" s="1">
        <v>315000.0</v>
      </c>
      <c r="D287" s="1">
        <v>36.0</v>
      </c>
      <c r="E287" s="1">
        <v>290.0</v>
      </c>
    </row>
    <row r="288">
      <c r="A288" s="2">
        <v>45822.0</v>
      </c>
      <c r="B288" s="1">
        <v>246.0</v>
      </c>
      <c r="C288" s="1">
        <v>444000.0</v>
      </c>
      <c r="D288" s="1">
        <v>44.0</v>
      </c>
      <c r="E288" s="1">
        <v>290.0</v>
      </c>
    </row>
    <row r="289">
      <c r="A289" s="2">
        <v>45823.0</v>
      </c>
      <c r="B289" s="1">
        <v>255.0</v>
      </c>
      <c r="C289" s="1">
        <v>402600.0</v>
      </c>
      <c r="D289" s="1">
        <v>33.0</v>
      </c>
      <c r="E289" s="1">
        <v>290.0</v>
      </c>
    </row>
    <row r="290">
      <c r="A290" s="2">
        <v>45824.0</v>
      </c>
      <c r="B290" s="1">
        <v>233.0</v>
      </c>
      <c r="C290" s="1">
        <v>320200.0</v>
      </c>
      <c r="D290" s="1">
        <v>40.0</v>
      </c>
      <c r="E290" s="1">
        <v>290.0</v>
      </c>
    </row>
    <row r="291">
      <c r="A291" s="2">
        <v>45825.0</v>
      </c>
      <c r="B291" s="1">
        <v>226.0</v>
      </c>
      <c r="C291" s="1">
        <v>316100.0</v>
      </c>
      <c r="D291" s="1">
        <v>30.0</v>
      </c>
      <c r="E291" s="1">
        <v>290.0</v>
      </c>
    </row>
    <row r="292">
      <c r="A292" s="2">
        <v>45826.0</v>
      </c>
      <c r="B292" s="1">
        <v>235.0</v>
      </c>
      <c r="C292" s="1">
        <v>512700.0</v>
      </c>
      <c r="D292" s="1">
        <v>41.0</v>
      </c>
      <c r="E292" s="1">
        <v>290.0</v>
      </c>
    </row>
    <row r="293">
      <c r="A293" s="2">
        <v>45827.0</v>
      </c>
      <c r="B293" s="1">
        <v>255.0</v>
      </c>
      <c r="C293" s="1">
        <v>550200.0</v>
      </c>
      <c r="D293" s="1">
        <v>55.0</v>
      </c>
      <c r="E293" s="1">
        <v>290.0</v>
      </c>
    </row>
    <row r="294">
      <c r="A294" s="2">
        <v>45828.0</v>
      </c>
      <c r="B294" s="1">
        <v>264.0</v>
      </c>
      <c r="C294" s="1">
        <v>415300.0</v>
      </c>
      <c r="D294" s="1">
        <v>48.0</v>
      </c>
      <c r="E294" s="1">
        <v>290.0</v>
      </c>
    </row>
    <row r="295">
      <c r="A295" s="2">
        <v>45829.0</v>
      </c>
      <c r="B295" s="1">
        <v>270.0</v>
      </c>
      <c r="C295" s="1">
        <v>262800.0</v>
      </c>
      <c r="D295" s="1">
        <v>30.0</v>
      </c>
      <c r="E295" s="1">
        <v>290.0</v>
      </c>
    </row>
    <row r="296">
      <c r="A296" s="2">
        <v>45830.0</v>
      </c>
      <c r="B296" s="1">
        <v>264.0</v>
      </c>
      <c r="C296" s="1">
        <v>356100.0</v>
      </c>
      <c r="D296" s="1">
        <v>34.0</v>
      </c>
      <c r="E296" s="1">
        <v>290.0</v>
      </c>
    </row>
    <row r="297">
      <c r="A297" s="2">
        <v>45831.0</v>
      </c>
      <c r="B297" s="1">
        <v>247.0</v>
      </c>
      <c r="C297" s="1">
        <v>295160.0</v>
      </c>
      <c r="D297" s="1">
        <v>31.0</v>
      </c>
      <c r="E297" s="1">
        <v>290.0</v>
      </c>
    </row>
    <row r="298">
      <c r="A298" s="2">
        <v>45832.0</v>
      </c>
      <c r="B298" s="1">
        <v>244.0</v>
      </c>
      <c r="C298" s="1">
        <v>409000.0</v>
      </c>
      <c r="D298" s="1">
        <v>47.0</v>
      </c>
      <c r="E298" s="1">
        <v>290.0</v>
      </c>
    </row>
    <row r="299">
      <c r="A299" s="2">
        <v>45833.0</v>
      </c>
      <c r="B299" s="1">
        <v>253.0</v>
      </c>
      <c r="C299" s="1">
        <v>592000.0</v>
      </c>
      <c r="D299" s="1">
        <v>65.0</v>
      </c>
      <c r="E299" s="1">
        <v>290.0</v>
      </c>
    </row>
    <row r="300">
      <c r="A300" s="2">
        <v>45834.0</v>
      </c>
      <c r="B300" s="1">
        <v>277.0</v>
      </c>
      <c r="C300" s="1">
        <v>675500.0</v>
      </c>
      <c r="D300" s="1">
        <v>60.0</v>
      </c>
      <c r="E300" s="1">
        <v>290.0</v>
      </c>
    </row>
    <row r="301">
      <c r="A301" s="2">
        <v>45835.0</v>
      </c>
      <c r="B301" s="1">
        <v>276.0</v>
      </c>
      <c r="C301" s="1">
        <v>474700.0</v>
      </c>
      <c r="D301" s="1">
        <v>46.0</v>
      </c>
      <c r="E301" s="1">
        <v>290.0</v>
      </c>
    </row>
    <row r="302">
      <c r="A302" s="2">
        <v>45836.0</v>
      </c>
      <c r="B302" s="1">
        <v>267.0</v>
      </c>
      <c r="C302" s="1">
        <v>223500.0</v>
      </c>
      <c r="D302" s="1">
        <v>22.0</v>
      </c>
      <c r="E302" s="1">
        <v>290.0</v>
      </c>
    </row>
    <row r="303">
      <c r="A303" s="2">
        <v>45837.0</v>
      </c>
      <c r="B303" s="1">
        <v>282.0</v>
      </c>
      <c r="C303" s="1">
        <v>434800.0</v>
      </c>
      <c r="D303" s="1">
        <v>41.0</v>
      </c>
      <c r="E303" s="1">
        <v>290.0</v>
      </c>
    </row>
    <row r="304">
      <c r="A304" s="2">
        <v>45838.0</v>
      </c>
      <c r="B304" s="1">
        <v>255.0</v>
      </c>
      <c r="C304" s="1">
        <v>313300.0</v>
      </c>
      <c r="D304" s="1">
        <v>27.0</v>
      </c>
      <c r="E304" s="1">
        <v>290.0</v>
      </c>
    </row>
    <row r="305">
      <c r="A305" s="2">
        <v>45839.0</v>
      </c>
      <c r="B305" s="1">
        <v>245.0</v>
      </c>
      <c r="C305" s="1">
        <v>309100.0</v>
      </c>
      <c r="D305" s="1">
        <v>27.0</v>
      </c>
      <c r="E305" s="1">
        <v>290.0</v>
      </c>
    </row>
    <row r="306">
      <c r="A306" s="2">
        <v>45840.0</v>
      </c>
      <c r="B306" s="1">
        <v>254.0</v>
      </c>
      <c r="C306" s="1">
        <v>475900.0</v>
      </c>
      <c r="D306" s="1">
        <v>58.0</v>
      </c>
      <c r="E306" s="1">
        <v>290.0</v>
      </c>
    </row>
    <row r="307">
      <c r="A307" s="2">
        <v>45841.0</v>
      </c>
      <c r="B307" s="1">
        <v>244.0</v>
      </c>
      <c r="C307" s="1">
        <v>399500.0</v>
      </c>
      <c r="D307" s="1">
        <v>34.0</v>
      </c>
      <c r="E307" s="1">
        <v>290.0</v>
      </c>
    </row>
    <row r="308">
      <c r="A308" s="2">
        <v>45842.0</v>
      </c>
      <c r="B308" s="1">
        <v>240.0</v>
      </c>
      <c r="C308" s="1">
        <v>345000.0</v>
      </c>
      <c r="D308" s="1">
        <v>37.0</v>
      </c>
      <c r="E308" s="1">
        <v>290.0</v>
      </c>
    </row>
    <row r="309">
      <c r="A309" s="2">
        <v>45843.0</v>
      </c>
      <c r="B309" s="1">
        <v>242.0</v>
      </c>
      <c r="C309" s="1">
        <v>327000.0</v>
      </c>
      <c r="D309" s="1">
        <v>33.0</v>
      </c>
      <c r="E309" s="1">
        <v>290.0</v>
      </c>
    </row>
    <row r="310">
      <c r="A310" s="2">
        <v>45844.0</v>
      </c>
      <c r="B310" s="1">
        <v>243.0</v>
      </c>
      <c r="C310" s="1">
        <v>431600.0</v>
      </c>
      <c r="D310" s="1">
        <v>40.0</v>
      </c>
      <c r="E310" s="1">
        <v>290.0</v>
      </c>
    </row>
    <row r="311">
      <c r="A311" s="2">
        <v>45845.0</v>
      </c>
      <c r="B311" s="1">
        <v>247.0</v>
      </c>
      <c r="C311" s="1">
        <v>325100.0</v>
      </c>
      <c r="D311" s="1">
        <v>30.0</v>
      </c>
      <c r="E311" s="1">
        <v>290.0</v>
      </c>
    </row>
    <row r="312">
      <c r="A312" s="2">
        <v>45846.0</v>
      </c>
      <c r="B312" s="1">
        <v>258.0</v>
      </c>
      <c r="C312" s="1">
        <v>473500.0</v>
      </c>
      <c r="D312" s="1">
        <v>42.0</v>
      </c>
      <c r="E312" s="1">
        <v>290.0</v>
      </c>
    </row>
    <row r="313">
      <c r="A313" s="2">
        <v>45847.0</v>
      </c>
      <c r="B313" s="1">
        <v>268.0</v>
      </c>
      <c r="C313" s="1">
        <v>473800.0</v>
      </c>
      <c r="D313" s="1">
        <v>48.0</v>
      </c>
      <c r="E313" s="1">
        <v>290.0</v>
      </c>
    </row>
    <row r="314">
      <c r="A314" s="2">
        <v>45848.0</v>
      </c>
      <c r="B314" s="1">
        <v>254.0</v>
      </c>
      <c r="C314" s="1">
        <v>294300.0</v>
      </c>
      <c r="D314" s="1">
        <v>29.0</v>
      </c>
      <c r="E314" s="1">
        <v>290.0</v>
      </c>
    </row>
    <row r="315">
      <c r="A315" s="2">
        <v>45849.0</v>
      </c>
      <c r="B315" s="1">
        <v>267.0</v>
      </c>
      <c r="C315" s="1">
        <v>415400.0</v>
      </c>
      <c r="D315" s="1">
        <v>44.0</v>
      </c>
      <c r="E315" s="1">
        <v>290.0</v>
      </c>
    </row>
    <row r="316">
      <c r="A316" s="2">
        <v>45850.0</v>
      </c>
      <c r="B316" s="1">
        <v>273.0</v>
      </c>
      <c r="C316" s="1">
        <v>449400.0</v>
      </c>
      <c r="D316" s="1">
        <v>45.0</v>
      </c>
      <c r="E316" s="1">
        <v>290.0</v>
      </c>
    </row>
    <row r="317">
      <c r="A317" s="2">
        <v>45851.0</v>
      </c>
      <c r="B317" s="1">
        <v>272.0</v>
      </c>
      <c r="C317" s="1">
        <v>361400.0</v>
      </c>
      <c r="D317" s="1">
        <v>37.0</v>
      </c>
      <c r="E317" s="1">
        <v>290.0</v>
      </c>
    </row>
    <row r="318">
      <c r="A318" s="2">
        <v>45852.0</v>
      </c>
      <c r="B318" s="1">
        <v>264.0</v>
      </c>
      <c r="C318" s="1">
        <v>358800.0</v>
      </c>
      <c r="D318" s="1">
        <v>29.0</v>
      </c>
      <c r="E318" s="1">
        <v>290.0</v>
      </c>
    </row>
    <row r="319">
      <c r="A319" s="2">
        <v>45853.0</v>
      </c>
      <c r="B319" s="1">
        <v>268.0</v>
      </c>
      <c r="C319" s="1">
        <v>503000.0</v>
      </c>
      <c r="D319" s="1">
        <v>51.0</v>
      </c>
      <c r="E319" s="1">
        <v>290.0</v>
      </c>
    </row>
    <row r="320">
      <c r="A320" s="2">
        <v>45854.0</v>
      </c>
      <c r="B320" s="1">
        <v>248.0</v>
      </c>
      <c r="C320" s="1">
        <v>313500.0</v>
      </c>
      <c r="D320" s="1">
        <v>27.0</v>
      </c>
      <c r="E320" s="1">
        <v>290.0</v>
      </c>
    </row>
    <row r="321">
      <c r="A321" s="2">
        <v>45855.0</v>
      </c>
      <c r="B321" s="1">
        <v>235.0</v>
      </c>
      <c r="C321" s="1">
        <v>309100.0</v>
      </c>
      <c r="D321" s="1">
        <v>33.0</v>
      </c>
      <c r="E321" s="1">
        <v>290.0</v>
      </c>
    </row>
    <row r="322">
      <c r="A322" s="2">
        <v>45856.0</v>
      </c>
      <c r="B322" s="1">
        <v>267.0</v>
      </c>
      <c r="C322" s="1">
        <v>607600.0</v>
      </c>
      <c r="D322" s="1">
        <v>64.0</v>
      </c>
      <c r="E322" s="1">
        <v>290.0</v>
      </c>
    </row>
    <row r="323">
      <c r="A323" s="2">
        <v>45857.0</v>
      </c>
      <c r="B323" s="1">
        <v>286.0</v>
      </c>
      <c r="C323" s="1">
        <v>630200.0</v>
      </c>
      <c r="D323" s="1">
        <v>57.0</v>
      </c>
      <c r="E323" s="1">
        <v>290.0</v>
      </c>
    </row>
    <row r="324">
      <c r="A324" s="2">
        <v>45858.0</v>
      </c>
      <c r="B324" s="1">
        <v>275.0</v>
      </c>
      <c r="C324" s="1">
        <v>231700.0</v>
      </c>
      <c r="D324" s="1">
        <v>28.0</v>
      </c>
      <c r="E324" s="1">
        <v>290.0</v>
      </c>
    </row>
    <row r="325">
      <c r="A325" s="2">
        <v>45859.0</v>
      </c>
      <c r="B325" s="1">
        <v>271.0</v>
      </c>
      <c r="C325" s="1">
        <v>310500.0</v>
      </c>
      <c r="D325" s="1">
        <v>35.0</v>
      </c>
      <c r="E325" s="1">
        <v>290.0</v>
      </c>
    </row>
    <row r="326">
      <c r="A326" s="2">
        <v>45860.0</v>
      </c>
      <c r="B326" s="1">
        <v>275.0</v>
      </c>
      <c r="C326" s="1">
        <v>405000.0</v>
      </c>
      <c r="D326" s="1">
        <v>44.0</v>
      </c>
      <c r="E326" s="1">
        <v>290.0</v>
      </c>
    </row>
    <row r="327">
      <c r="A327" s="2">
        <v>45861.0</v>
      </c>
      <c r="B327" s="1">
        <v>286.0</v>
      </c>
      <c r="C327" s="1">
        <v>413000.0</v>
      </c>
      <c r="D327" s="1">
        <v>44.0</v>
      </c>
      <c r="E327" s="1">
        <v>290.0</v>
      </c>
    </row>
    <row r="328">
      <c r="A328" s="2">
        <v>45862.0</v>
      </c>
      <c r="B328" s="1">
        <v>290.0</v>
      </c>
      <c r="C328" s="1">
        <v>380100.0</v>
      </c>
      <c r="D328" s="1">
        <v>40.0</v>
      </c>
      <c r="E328" s="1">
        <v>290.0</v>
      </c>
    </row>
    <row r="329">
      <c r="A329" s="2">
        <v>45863.0</v>
      </c>
      <c r="B329" s="1">
        <v>315.0</v>
      </c>
      <c r="C329" s="1">
        <v>523500.0</v>
      </c>
      <c r="D329" s="1">
        <v>48.0</v>
      </c>
      <c r="E329" s="1">
        <v>290.0</v>
      </c>
    </row>
    <row r="330">
      <c r="A330" s="2">
        <v>45864.0</v>
      </c>
      <c r="B330" s="1">
        <v>306.0</v>
      </c>
      <c r="C330" s="1">
        <v>386700.0</v>
      </c>
      <c r="D330" s="1">
        <v>35.0</v>
      </c>
      <c r="E330" s="1">
        <v>290.0</v>
      </c>
    </row>
    <row r="331">
      <c r="A331" s="2">
        <v>45865.0</v>
      </c>
      <c r="B331" s="1">
        <v>294.0</v>
      </c>
      <c r="C331" s="1">
        <v>392100.0</v>
      </c>
      <c r="D331" s="1">
        <v>41.0</v>
      </c>
      <c r="E331" s="1">
        <v>290.0</v>
      </c>
    </row>
    <row r="332">
      <c r="A332" s="2">
        <v>45866.0</v>
      </c>
      <c r="B332" s="1">
        <v>279.0</v>
      </c>
      <c r="C332" s="1">
        <v>344900.0</v>
      </c>
      <c r="D332" s="1">
        <v>43.0</v>
      </c>
      <c r="E332" s="1">
        <v>290.0</v>
      </c>
    </row>
    <row r="333">
      <c r="A333" s="2">
        <v>45867.0</v>
      </c>
      <c r="B333" s="1">
        <v>257.0</v>
      </c>
      <c r="C333" s="1">
        <v>400400.0</v>
      </c>
      <c r="D333" s="1">
        <v>44.0</v>
      </c>
      <c r="E333" s="1">
        <v>290.0</v>
      </c>
    </row>
    <row r="334">
      <c r="A334" s="2">
        <v>45868.0</v>
      </c>
      <c r="B334" s="1">
        <v>243.0</v>
      </c>
      <c r="C334" s="1">
        <v>345500.0</v>
      </c>
      <c r="D334" s="1">
        <v>30.0</v>
      </c>
      <c r="E334" s="1">
        <v>290.0</v>
      </c>
    </row>
    <row r="335">
      <c r="A335" s="2">
        <v>45869.0</v>
      </c>
      <c r="B335" s="1">
        <v>234.0</v>
      </c>
      <c r="C335" s="1">
        <v>350800.0</v>
      </c>
      <c r="D335" s="1">
        <v>31.0</v>
      </c>
      <c r="E335" s="1">
        <v>290.0</v>
      </c>
    </row>
    <row r="336">
      <c r="A336" s="2">
        <v>45870.0</v>
      </c>
      <c r="B336" s="1">
        <v>250.0</v>
      </c>
      <c r="C336" s="1">
        <v>458900.0</v>
      </c>
      <c r="D336" s="1">
        <v>53.0</v>
      </c>
      <c r="E336" s="1">
        <v>290.0</v>
      </c>
    </row>
    <row r="337">
      <c r="A337" s="2">
        <v>45871.0</v>
      </c>
      <c r="B337" s="1">
        <v>238.0</v>
      </c>
      <c r="C337" s="1">
        <v>261800.0</v>
      </c>
      <c r="D337" s="1">
        <v>27.0</v>
      </c>
      <c r="E337" s="1">
        <v>290.0</v>
      </c>
    </row>
    <row r="338">
      <c r="A338" s="2">
        <v>45872.0</v>
      </c>
      <c r="B338" s="1">
        <v>247.0</v>
      </c>
      <c r="C338" s="1">
        <v>441300.0</v>
      </c>
      <c r="D338" s="1">
        <v>41.0</v>
      </c>
      <c r="E338" s="1">
        <v>290.0</v>
      </c>
    </row>
    <row r="339">
      <c r="A339" s="2">
        <v>45873.0</v>
      </c>
      <c r="B339" s="1">
        <v>230.0</v>
      </c>
      <c r="C339" s="1">
        <v>206600.0</v>
      </c>
      <c r="D339" s="1">
        <v>23.0</v>
      </c>
      <c r="E339" s="1">
        <v>290.0</v>
      </c>
    </row>
    <row r="340">
      <c r="A340" s="2">
        <v>45874.0</v>
      </c>
      <c r="B340" s="1">
        <v>225.0</v>
      </c>
      <c r="C340" s="1">
        <v>381400.0</v>
      </c>
      <c r="D340" s="1">
        <v>39.0</v>
      </c>
      <c r="E340" s="1">
        <v>290.0</v>
      </c>
    </row>
    <row r="341">
      <c r="A341" s="2">
        <v>45875.0</v>
      </c>
      <c r="B341" s="1">
        <v>233.0</v>
      </c>
      <c r="C341" s="1">
        <v>407400.0</v>
      </c>
      <c r="D341" s="1">
        <v>39.0</v>
      </c>
      <c r="E341" s="1">
        <v>290.0</v>
      </c>
    </row>
    <row r="342">
      <c r="A342" s="2">
        <v>45876.0</v>
      </c>
      <c r="B342" s="1">
        <v>210.0</v>
      </c>
      <c r="C342" s="1">
        <v>260900.0</v>
      </c>
      <c r="D342" s="1">
        <v>25.0</v>
      </c>
      <c r="E342" s="1">
        <v>290.0</v>
      </c>
    </row>
    <row r="343">
      <c r="A343" s="2">
        <v>45877.0</v>
      </c>
      <c r="B343" s="1">
        <v>221.0</v>
      </c>
      <c r="C343" s="1">
        <v>373700.0</v>
      </c>
      <c r="D343" s="1">
        <v>40.0</v>
      </c>
      <c r="E343" s="1">
        <v>290.0</v>
      </c>
    </row>
    <row r="344">
      <c r="A344" s="2">
        <v>45878.0</v>
      </c>
      <c r="B344" s="1">
        <v>224.0</v>
      </c>
      <c r="C344" s="1">
        <v>438900.0</v>
      </c>
      <c r="D344" s="1">
        <v>39.0</v>
      </c>
      <c r="E344" s="1">
        <v>290.0</v>
      </c>
    </row>
    <row r="345">
      <c r="A345" s="2">
        <v>45879.0</v>
      </c>
      <c r="B345" s="1">
        <v>226.0</v>
      </c>
      <c r="C345" s="1">
        <v>323600.0</v>
      </c>
      <c r="D345" s="1">
        <v>36.0</v>
      </c>
      <c r="E345" s="1">
        <v>290.0</v>
      </c>
    </row>
    <row r="346">
      <c r="A346" s="2">
        <v>45880.0</v>
      </c>
      <c r="B346" s="1">
        <v>219.0</v>
      </c>
      <c r="C346" s="1">
        <v>343400.0</v>
      </c>
      <c r="D346" s="1">
        <v>38.0</v>
      </c>
      <c r="E346" s="1">
        <v>290.0</v>
      </c>
    </row>
    <row r="347">
      <c r="A347" s="2">
        <v>45881.0</v>
      </c>
      <c r="B347" s="1">
        <v>226.0</v>
      </c>
      <c r="C347" s="1">
        <v>410900.0</v>
      </c>
      <c r="D347" s="1">
        <v>37.0</v>
      </c>
      <c r="E347" s="1">
        <v>290.0</v>
      </c>
    </row>
    <row r="348">
      <c r="A348" s="2">
        <v>45882.0</v>
      </c>
      <c r="B348" s="1">
        <v>224.0</v>
      </c>
      <c r="C348" s="1">
        <v>345200.0</v>
      </c>
      <c r="D348" s="1">
        <v>34.0</v>
      </c>
      <c r="E348" s="1">
        <v>290.0</v>
      </c>
    </row>
    <row r="349">
      <c r="A349" s="2">
        <v>45883.0</v>
      </c>
      <c r="B349" s="1">
        <v>227.0</v>
      </c>
      <c r="C349" s="1">
        <v>324900.0</v>
      </c>
      <c r="D349" s="1">
        <v>36.0</v>
      </c>
      <c r="E349" s="1">
        <v>290.0</v>
      </c>
    </row>
    <row r="350">
      <c r="A350" s="2">
        <v>45884.0</v>
      </c>
      <c r="B350" s="1">
        <v>243.0</v>
      </c>
      <c r="C350" s="1">
        <v>511300.0</v>
      </c>
      <c r="D350" s="1">
        <v>48.0</v>
      </c>
      <c r="E350" s="1">
        <v>290.0</v>
      </c>
    </row>
    <row r="351">
      <c r="A351" s="2">
        <v>45885.0</v>
      </c>
      <c r="B351" s="1">
        <v>247.0</v>
      </c>
      <c r="C351" s="1">
        <v>347400.0</v>
      </c>
      <c r="D351" s="1">
        <v>30.0</v>
      </c>
      <c r="E351" s="1">
        <v>290.0</v>
      </c>
    </row>
    <row r="352">
      <c r="A352" s="2">
        <v>45886.0</v>
      </c>
      <c r="B352" s="1">
        <v>251.0</v>
      </c>
      <c r="C352" s="1">
        <v>345900.0</v>
      </c>
      <c r="D352" s="1">
        <v>33.0</v>
      </c>
      <c r="E352" s="1">
        <v>290.0</v>
      </c>
    </row>
    <row r="353">
      <c r="A353" s="2">
        <v>45887.0</v>
      </c>
      <c r="B353" s="1">
        <v>262.0</v>
      </c>
      <c r="C353" s="1">
        <v>434200.0</v>
      </c>
      <c r="D353" s="1">
        <v>42.0</v>
      </c>
      <c r="E353" s="1">
        <v>290.0</v>
      </c>
    </row>
    <row r="354">
      <c r="A354" s="2">
        <v>45888.0</v>
      </c>
      <c r="B354" s="1">
        <v>290.0</v>
      </c>
      <c r="C354" s="1">
        <v>680400.0</v>
      </c>
      <c r="D354" s="1">
        <v>67.0</v>
      </c>
      <c r="E354" s="1">
        <v>290.0</v>
      </c>
    </row>
    <row r="355">
      <c r="A355" s="2">
        <v>45889.0</v>
      </c>
      <c r="B355" s="1">
        <v>295.0</v>
      </c>
      <c r="C355" s="1">
        <v>416100.0</v>
      </c>
      <c r="D355" s="1">
        <v>44.0</v>
      </c>
      <c r="E355" s="1">
        <v>290.0</v>
      </c>
    </row>
    <row r="356">
      <c r="A356" s="2">
        <v>45890.0</v>
      </c>
      <c r="B356" s="1">
        <v>295.0</v>
      </c>
      <c r="C356" s="1">
        <v>389700.0</v>
      </c>
      <c r="D356" s="1">
        <v>33.0</v>
      </c>
      <c r="E356" s="1">
        <v>290.0</v>
      </c>
    </row>
    <row r="357">
      <c r="A357" s="2">
        <v>45891.0</v>
      </c>
      <c r="B357" s="1">
        <v>294.0</v>
      </c>
      <c r="C357" s="1">
        <v>411000.0</v>
      </c>
      <c r="D357" s="1">
        <v>37.0</v>
      </c>
      <c r="E357" s="1">
        <v>290.0</v>
      </c>
    </row>
    <row r="358">
      <c r="A358" s="2">
        <v>45892.0</v>
      </c>
      <c r="B358" s="1">
        <v>275.0</v>
      </c>
      <c r="C358" s="1">
        <v>344900.0</v>
      </c>
      <c r="D358" s="1">
        <v>29.0</v>
      </c>
      <c r="E358" s="1">
        <v>290.0</v>
      </c>
    </row>
    <row r="359">
      <c r="A359" s="2">
        <v>45893.0</v>
      </c>
      <c r="B359" s="1">
        <v>253.0</v>
      </c>
      <c r="C359" s="1">
        <v>340900.0</v>
      </c>
      <c r="D359" s="1">
        <v>37.0</v>
      </c>
      <c r="E359" s="1">
        <v>290.0</v>
      </c>
    </row>
    <row r="360">
      <c r="A360" s="2">
        <v>45894.0</v>
      </c>
      <c r="B360" s="1">
        <v>237.0</v>
      </c>
      <c r="C360" s="1">
        <v>316900.0</v>
      </c>
      <c r="D360" s="1">
        <v>35.0</v>
      </c>
      <c r="E360" s="1">
        <v>290.0</v>
      </c>
    </row>
    <row r="361">
      <c r="A361" s="2">
        <v>45895.0</v>
      </c>
      <c r="B361" s="1">
        <v>237.0</v>
      </c>
      <c r="C361" s="1">
        <v>424000.0</v>
      </c>
      <c r="D361" s="1">
        <v>37.0</v>
      </c>
      <c r="E361" s="1">
        <v>290.0</v>
      </c>
    </row>
    <row r="362">
      <c r="A362" s="2">
        <v>45896.0</v>
      </c>
      <c r="B362" s="1">
        <v>226.0</v>
      </c>
      <c r="C362" s="1">
        <v>307400.0</v>
      </c>
      <c r="D362" s="1">
        <v>28.0</v>
      </c>
      <c r="E362" s="1">
        <v>290.0</v>
      </c>
    </row>
    <row r="363">
      <c r="A363" s="2">
        <v>45897.0</v>
      </c>
      <c r="B363" s="1">
        <v>222.0</v>
      </c>
      <c r="C363" s="1">
        <v>315100.0</v>
      </c>
      <c r="D363" s="1">
        <v>33.0</v>
      </c>
      <c r="E363" s="1">
        <v>290.0</v>
      </c>
    </row>
    <row r="364">
      <c r="A364" s="2">
        <v>45898.0</v>
      </c>
      <c r="B364" s="1">
        <v>229.0</v>
      </c>
      <c r="C364" s="1">
        <v>387100.0</v>
      </c>
      <c r="D364" s="1">
        <v>38.0</v>
      </c>
      <c r="E364" s="1">
        <v>290.0</v>
      </c>
    </row>
    <row r="365">
      <c r="A365" s="2">
        <v>45899.0</v>
      </c>
      <c r="B365" s="1">
        <v>226.0</v>
      </c>
      <c r="C365" s="1">
        <v>313600.0</v>
      </c>
      <c r="D365" s="1">
        <v>27.0</v>
      </c>
      <c r="E365" s="1">
        <v>290.0</v>
      </c>
    </row>
    <row r="366">
      <c r="A366" s="2">
        <v>45900.0</v>
      </c>
      <c r="B366" s="1">
        <v>215.0</v>
      </c>
      <c r="C366" s="1">
        <v>321500.0</v>
      </c>
      <c r="D366" s="1">
        <v>27.0</v>
      </c>
      <c r="E366" s="1">
        <v>290.0</v>
      </c>
    </row>
    <row r="367">
      <c r="A367" s="2">
        <v>45901.0</v>
      </c>
      <c r="B367" s="1">
        <v>228.0</v>
      </c>
      <c r="C367" s="1">
        <v>478000.0</v>
      </c>
      <c r="D367" s="1">
        <v>46.0</v>
      </c>
      <c r="E367" s="1">
        <v>290.0</v>
      </c>
    </row>
    <row r="368">
      <c r="A368" s="2">
        <v>45902.0</v>
      </c>
      <c r="B368" s="1">
        <v>248.0</v>
      </c>
      <c r="C368" s="1">
        <v>452600.0</v>
      </c>
      <c r="D368" s="1">
        <v>44.0</v>
      </c>
      <c r="E368" s="1">
        <v>290.0</v>
      </c>
    </row>
    <row r="369">
      <c r="A369" s="2">
        <v>45903.0</v>
      </c>
      <c r="B369" s="1">
        <v>269.0</v>
      </c>
      <c r="C369" s="1">
        <v>560900.0</v>
      </c>
      <c r="D369" s="1">
        <v>53.0</v>
      </c>
      <c r="E369" s="1">
        <v>290.0</v>
      </c>
    </row>
    <row r="370">
      <c r="A370" s="2">
        <v>45904.0</v>
      </c>
      <c r="B370" s="1">
        <v>268.0</v>
      </c>
      <c r="C370" s="1">
        <v>290800.0</v>
      </c>
      <c r="D370" s="1">
        <v>33.0</v>
      </c>
      <c r="E370" s="1">
        <v>290.0</v>
      </c>
    </row>
    <row r="371">
      <c r="A371" s="2">
        <v>45905.0</v>
      </c>
      <c r="B371" s="1">
        <v>290.0</v>
      </c>
      <c r="C371" s="1">
        <v>583600.0</v>
      </c>
      <c r="D371" s="1">
        <v>57.0</v>
      </c>
      <c r="E371" s="1">
        <v>290.0</v>
      </c>
    </row>
    <row r="372">
      <c r="A372" s="2">
        <v>45906.0</v>
      </c>
      <c r="B372" s="1">
        <v>303.0</v>
      </c>
      <c r="C372" s="1">
        <v>538600.0</v>
      </c>
      <c r="D372" s="1">
        <v>49.0</v>
      </c>
      <c r="E372" s="1">
        <v>290.0</v>
      </c>
    </row>
    <row r="373">
      <c r="A373" s="2">
        <v>45907.0</v>
      </c>
      <c r="B373" s="1">
        <v>301.0</v>
      </c>
      <c r="C373" s="1">
        <v>439000.0</v>
      </c>
      <c r="D373" s="1">
        <v>45.0</v>
      </c>
      <c r="E373" s="1">
        <v>290.0</v>
      </c>
    </row>
    <row r="374">
      <c r="A374" s="2">
        <v>45908.0</v>
      </c>
      <c r="B374" s="1">
        <v>280.0</v>
      </c>
      <c r="C374" s="1">
        <v>359500.0</v>
      </c>
      <c r="D374" s="1">
        <v>35.0</v>
      </c>
      <c r="E374" s="1">
        <v>290.0</v>
      </c>
    </row>
    <row r="375">
      <c r="A375" s="2">
        <v>45909.0</v>
      </c>
      <c r="B375" s="1">
        <v>265.0</v>
      </c>
      <c r="C375" s="1">
        <v>288200.0</v>
      </c>
      <c r="D375" s="1">
        <v>33.0</v>
      </c>
      <c r="E375" s="1">
        <v>290.0</v>
      </c>
    </row>
    <row r="376">
      <c r="A376" s="2">
        <v>45910.0</v>
      </c>
      <c r="B376" s="1">
        <v>270.0</v>
      </c>
      <c r="C376" s="1">
        <v>479100.0</v>
      </c>
      <c r="D376" s="1">
        <v>54.0</v>
      </c>
      <c r="E376" s="1">
        <v>290.0</v>
      </c>
    </row>
    <row r="377">
      <c r="A377" s="2">
        <v>45911.0</v>
      </c>
      <c r="B377" s="1">
        <v>268.0</v>
      </c>
      <c r="C377" s="1">
        <v>437600.0</v>
      </c>
      <c r="D377" s="1">
        <v>42.0</v>
      </c>
      <c r="E377" s="1">
        <v>290.0</v>
      </c>
    </row>
    <row r="378">
      <c r="A378" s="2">
        <v>45912.0</v>
      </c>
      <c r="B378" s="1">
        <v>277.0</v>
      </c>
      <c r="C378" s="1">
        <v>539100.0</v>
      </c>
      <c r="D378" s="1">
        <v>57.0</v>
      </c>
      <c r="E378" s="1">
        <v>290.0</v>
      </c>
    </row>
    <row r="379">
      <c r="A379" s="2">
        <v>45913.0</v>
      </c>
      <c r="B379" s="1">
        <v>276.0</v>
      </c>
      <c r="C379" s="1">
        <v>478100.0</v>
      </c>
      <c r="D379" s="1">
        <v>45.0</v>
      </c>
      <c r="E379" s="1">
        <v>290.0</v>
      </c>
    </row>
    <row r="380">
      <c r="A380" s="2">
        <v>45914.0</v>
      </c>
      <c r="B380" s="1">
        <v>269.0</v>
      </c>
      <c r="C380" s="1">
        <v>374700.0</v>
      </c>
      <c r="D380" s="1">
        <v>35.0</v>
      </c>
      <c r="E380" s="1">
        <v>290.0</v>
      </c>
    </row>
    <row r="381">
      <c r="A381" s="2">
        <v>45915.0</v>
      </c>
      <c r="B381" s="1">
        <v>257.0</v>
      </c>
      <c r="C381" s="1">
        <v>449600.0</v>
      </c>
      <c r="D381" s="1">
        <v>45.0</v>
      </c>
      <c r="E381" s="1">
        <v>290.0</v>
      </c>
    </row>
    <row r="382">
      <c r="A382" s="2">
        <v>45916.0</v>
      </c>
      <c r="B382" s="1">
        <v>257.0</v>
      </c>
      <c r="C382" s="1">
        <v>455500.0</v>
      </c>
      <c r="D382" s="1">
        <v>44.0</v>
      </c>
      <c r="E382" s="1">
        <v>290.0</v>
      </c>
    </row>
    <row r="383">
      <c r="A383" s="2">
        <v>45917.0</v>
      </c>
      <c r="B383" s="1">
        <v>266.0</v>
      </c>
      <c r="C383" s="1">
        <v>506800.0</v>
      </c>
      <c r="D383" s="1">
        <v>59.0</v>
      </c>
      <c r="E383" s="1">
        <v>290.0</v>
      </c>
    </row>
    <row r="384">
      <c r="A384" s="2">
        <v>45918.0</v>
      </c>
      <c r="B384" s="1">
        <v>283.0</v>
      </c>
      <c r="C384" s="1">
        <v>494500.0</v>
      </c>
      <c r="D384" s="1">
        <v>48.0</v>
      </c>
      <c r="E384" s="1">
        <v>290.0</v>
      </c>
    </row>
    <row r="385">
      <c r="A385" s="2">
        <v>45919.0</v>
      </c>
      <c r="B385" s="1">
        <v>291.0</v>
      </c>
      <c r="C385" s="1">
        <v>532500.0</v>
      </c>
      <c r="D385" s="1">
        <v>57.0</v>
      </c>
      <c r="E385" s="1">
        <v>290.0</v>
      </c>
    </row>
    <row r="386">
      <c r="A386" s="2">
        <v>45920.0</v>
      </c>
      <c r="B386" s="1">
        <v>302.0</v>
      </c>
      <c r="C386" s="1">
        <v>402100.0</v>
      </c>
      <c r="D386" s="1">
        <v>49.0</v>
      </c>
      <c r="E386" s="1">
        <v>290.0</v>
      </c>
    </row>
    <row r="387">
      <c r="A387" s="2">
        <v>45921.0</v>
      </c>
      <c r="B387" s="1">
        <v>301.0</v>
      </c>
      <c r="C387" s="1">
        <v>430100.0</v>
      </c>
      <c r="D387" s="1">
        <v>40.0</v>
      </c>
      <c r="E387" s="1">
        <v>290.0</v>
      </c>
    </row>
    <row r="388">
      <c r="A388" s="2">
        <v>45922.0</v>
      </c>
      <c r="B388" s="1">
        <v>270.0</v>
      </c>
      <c r="C388" s="1">
        <v>324900.0</v>
      </c>
      <c r="D388" s="1">
        <v>29.0</v>
      </c>
      <c r="E388" s="1">
        <v>290.0</v>
      </c>
    </row>
    <row r="389">
      <c r="A389" s="2">
        <v>45923.0</v>
      </c>
      <c r="B389" s="1">
        <v>274.0</v>
      </c>
      <c r="C389" s="1">
        <v>416900.0</v>
      </c>
      <c r="D389" s="1">
        <v>42.0</v>
      </c>
      <c r="E389" s="1">
        <v>290.0</v>
      </c>
    </row>
    <row r="390">
      <c r="A390" s="2">
        <v>45924.0</v>
      </c>
      <c r="B390" s="1">
        <v>271.0</v>
      </c>
      <c r="C390" s="1">
        <v>494600.0</v>
      </c>
      <c r="D390" s="1">
        <v>53.0</v>
      </c>
      <c r="E390" s="1">
        <v>290.0</v>
      </c>
    </row>
    <row r="391">
      <c r="A391" s="2">
        <v>45925.0</v>
      </c>
      <c r="B391" s="1">
        <v>256.0</v>
      </c>
      <c r="C391" s="1">
        <v>402600.0</v>
      </c>
      <c r="D391" s="1">
        <v>41.0</v>
      </c>
      <c r="E391" s="1">
        <v>290.0</v>
      </c>
    </row>
    <row r="392">
      <c r="A392" s="2">
        <v>45926.0</v>
      </c>
      <c r="B392" s="1">
        <v>265.0</v>
      </c>
      <c r="C392" s="1">
        <v>426400.0</v>
      </c>
      <c r="D392" s="1">
        <v>43.0</v>
      </c>
      <c r="E392" s="1">
        <v>290.0</v>
      </c>
    </row>
    <row r="393">
      <c r="A393" s="2">
        <v>45927.0</v>
      </c>
      <c r="B393" s="1">
        <v>266.0</v>
      </c>
      <c r="C393" s="1">
        <v>326200.0</v>
      </c>
      <c r="D393" s="1">
        <v>36.0</v>
      </c>
      <c r="E393" s="1">
        <v>290.0</v>
      </c>
    </row>
    <row r="394">
      <c r="A394" s="2">
        <v>45928.0</v>
      </c>
      <c r="B394" s="1">
        <v>274.0</v>
      </c>
      <c r="C394" s="1">
        <v>398500.0</v>
      </c>
      <c r="D394" s="1">
        <v>46.0</v>
      </c>
      <c r="E394" s="1">
        <v>290.0</v>
      </c>
    </row>
    <row r="395">
      <c r="A395" s="2">
        <v>45929.0</v>
      </c>
      <c r="B395" s="1">
        <v>235.0</v>
      </c>
      <c r="C395" s="1">
        <v>125700.0</v>
      </c>
      <c r="D395" s="1">
        <v>17.0</v>
      </c>
      <c r="E395" s="1">
        <v>290.0</v>
      </c>
    </row>
    <row r="396">
      <c r="A396" s="2">
        <v>45930.0</v>
      </c>
      <c r="B396" s="1">
        <v>213.0</v>
      </c>
      <c r="C396" s="1">
        <v>275200.0</v>
      </c>
      <c r="D396" s="1">
        <v>26.0</v>
      </c>
      <c r="E396" s="1">
        <v>290.0</v>
      </c>
    </row>
    <row r="397">
      <c r="A397" s="2">
        <v>45931.0</v>
      </c>
      <c r="B397" s="1">
        <v>203.0</v>
      </c>
      <c r="C397" s="1">
        <v>423000.0</v>
      </c>
      <c r="D397" s="1">
        <v>42.0</v>
      </c>
      <c r="E397" s="1">
        <v>290.0</v>
      </c>
    </row>
    <row r="398">
      <c r="A398" s="2">
        <v>45932.0</v>
      </c>
      <c r="B398" s="1">
        <v>195.0</v>
      </c>
      <c r="C398" s="1">
        <v>312400.0</v>
      </c>
      <c r="D398" s="1">
        <v>32.0</v>
      </c>
      <c r="E398" s="1">
        <v>290.0</v>
      </c>
    </row>
    <row r="399">
      <c r="A399" s="2">
        <v>45933.0</v>
      </c>
      <c r="B399" s="1">
        <v>203.0</v>
      </c>
      <c r="C399" s="1">
        <v>338300.0</v>
      </c>
      <c r="D399" s="1">
        <v>39.0</v>
      </c>
      <c r="E399" s="1">
        <v>290.0</v>
      </c>
    </row>
    <row r="400">
      <c r="A400" s="2">
        <v>45934.0</v>
      </c>
      <c r="B400" s="1">
        <v>210.0</v>
      </c>
      <c r="C400" s="1">
        <v>311500.0</v>
      </c>
      <c r="D400" s="1">
        <v>35.0</v>
      </c>
      <c r="E400" s="1">
        <v>290.0</v>
      </c>
    </row>
    <row r="401">
      <c r="A401" s="2">
        <v>45935.0</v>
      </c>
      <c r="B401" s="1">
        <v>215.0</v>
      </c>
      <c r="C401" s="1">
        <v>377100.0</v>
      </c>
      <c r="D401" s="1">
        <v>39.0</v>
      </c>
      <c r="E401" s="1">
        <v>290.0</v>
      </c>
    </row>
    <row r="402">
      <c r="A402" s="2">
        <v>45936.0</v>
      </c>
      <c r="B402" s="1">
        <v>190.0</v>
      </c>
      <c r="C402" s="1">
        <v>248400.0</v>
      </c>
      <c r="D402" s="1">
        <v>20.0</v>
      </c>
      <c r="E402" s="1">
        <v>290.0</v>
      </c>
    </row>
    <row r="403">
      <c r="A403" s="2">
        <v>45937.0</v>
      </c>
      <c r="B403" s="1">
        <v>191.0</v>
      </c>
      <c r="C403" s="1">
        <v>274600.0</v>
      </c>
      <c r="D403" s="1">
        <v>28.0</v>
      </c>
      <c r="E403" s="1">
        <v>290.0</v>
      </c>
    </row>
    <row r="404">
      <c r="A404" s="2">
        <v>45938.0</v>
      </c>
      <c r="B404" s="1">
        <v>205.0</v>
      </c>
      <c r="C404" s="1">
        <v>425100.0</v>
      </c>
      <c r="D404" s="1">
        <v>42.0</v>
      </c>
      <c r="E404" s="1">
        <v>290.0</v>
      </c>
    </row>
    <row r="405">
      <c r="A405" s="2">
        <v>45939.0</v>
      </c>
      <c r="B405" s="1">
        <v>197.0</v>
      </c>
      <c r="C405" s="1">
        <v>307600.0</v>
      </c>
      <c r="D405" s="1">
        <v>32.0</v>
      </c>
      <c r="E405" s="1">
        <v>290.0</v>
      </c>
    </row>
    <row r="406">
      <c r="A406" s="2">
        <v>45940.0</v>
      </c>
      <c r="B406" s="1">
        <v>204.0</v>
      </c>
      <c r="C406" s="1">
        <v>358600.0</v>
      </c>
      <c r="D406" s="1">
        <v>42.0</v>
      </c>
      <c r="E406" s="1">
        <v>290.0</v>
      </c>
    </row>
    <row r="407">
      <c r="A407" s="2">
        <v>45941.0</v>
      </c>
      <c r="B407" s="1">
        <v>213.0</v>
      </c>
      <c r="C407" s="1">
        <v>321100.0</v>
      </c>
      <c r="D407" s="1">
        <v>39.0</v>
      </c>
      <c r="E407" s="1">
        <v>290.0</v>
      </c>
    </row>
    <row r="408">
      <c r="A408" s="2">
        <v>45942.0</v>
      </c>
      <c r="B408" s="1">
        <v>216.0</v>
      </c>
      <c r="C408" s="1">
        <v>222200.0</v>
      </c>
      <c r="D408" s="1">
        <v>29.0</v>
      </c>
      <c r="E408" s="1">
        <v>290.0</v>
      </c>
    </row>
    <row r="409">
      <c r="A409" s="2">
        <v>45943.0</v>
      </c>
      <c r="B409" s="1">
        <v>194.0</v>
      </c>
      <c r="C409" s="1">
        <v>284200.0</v>
      </c>
      <c r="D409" s="1">
        <v>33.0</v>
      </c>
      <c r="E409" s="1">
        <v>290.0</v>
      </c>
    </row>
    <row r="410">
      <c r="A410" s="2">
        <v>45944.0</v>
      </c>
      <c r="B410" s="1">
        <v>165.0</v>
      </c>
      <c r="C410" s="1">
        <v>134600.0</v>
      </c>
      <c r="D410" s="1">
        <v>15.0</v>
      </c>
      <c r="E410" s="1">
        <v>290.0</v>
      </c>
    </row>
    <row r="411">
      <c r="A411" s="2">
        <v>45945.0</v>
      </c>
      <c r="B411" s="1">
        <v>184.0</v>
      </c>
      <c r="C411" s="1">
        <v>366550.0</v>
      </c>
      <c r="D411" s="1">
        <v>40.0</v>
      </c>
      <c r="E411" s="1">
        <v>290.0</v>
      </c>
    </row>
    <row r="412">
      <c r="A412" s="2">
        <v>45946.0</v>
      </c>
      <c r="B412" s="1">
        <v>171.0</v>
      </c>
      <c r="C412" s="1">
        <v>340500.0</v>
      </c>
      <c r="D412" s="1">
        <v>35.0</v>
      </c>
      <c r="E412" s="1">
        <v>290.0</v>
      </c>
    </row>
    <row r="413">
      <c r="A413" s="2">
        <v>45947.0</v>
      </c>
      <c r="B413" s="1">
        <v>190.0</v>
      </c>
      <c r="C413" s="1">
        <v>393100.0</v>
      </c>
      <c r="D413" s="1">
        <v>38.0</v>
      </c>
      <c r="E413" s="1">
        <v>290.0</v>
      </c>
    </row>
    <row r="414">
      <c r="A414" s="2">
        <v>45948.0</v>
      </c>
      <c r="B414" s="1">
        <v>203.0</v>
      </c>
      <c r="C414" s="1">
        <v>311300.0</v>
      </c>
      <c r="D414" s="1">
        <v>34.0</v>
      </c>
      <c r="E414" s="1">
        <v>290.0</v>
      </c>
    </row>
    <row r="415">
      <c r="A415" s="2">
        <v>45949.0</v>
      </c>
      <c r="B415" s="1">
        <v>203.0</v>
      </c>
      <c r="C415" s="1">
        <v>273700.0</v>
      </c>
      <c r="D415" s="1">
        <v>29.0</v>
      </c>
      <c r="E415" s="1">
        <v>290.0</v>
      </c>
    </row>
    <row r="416">
      <c r="A416" s="2">
        <v>45950.0</v>
      </c>
      <c r="B416" s="1">
        <v>180.0</v>
      </c>
      <c r="C416" s="1">
        <v>360100.0</v>
      </c>
      <c r="D416" s="1">
        <v>33.0</v>
      </c>
      <c r="E416" s="1">
        <v>290.0</v>
      </c>
    </row>
    <row r="417">
      <c r="A417" s="2">
        <v>45951.0</v>
      </c>
      <c r="B417" s="1">
        <v>171.0</v>
      </c>
      <c r="C417" s="1">
        <v>297800.0</v>
      </c>
      <c r="D417" s="1">
        <v>27.0</v>
      </c>
      <c r="E417" s="1">
        <v>290.0</v>
      </c>
    </row>
    <row r="418">
      <c r="A418" s="2">
        <v>45952.0</v>
      </c>
      <c r="B418" s="1">
        <v>217.0</v>
      </c>
      <c r="C418" s="1">
        <v>628100.0</v>
      </c>
      <c r="D418" s="1">
        <v>68.0</v>
      </c>
      <c r="E418" s="1">
        <v>290.0</v>
      </c>
    </row>
    <row r="419">
      <c r="A419" s="2">
        <v>45953.0</v>
      </c>
      <c r="B419" s="1">
        <v>245.0</v>
      </c>
      <c r="C419" s="1">
        <v>569100.0</v>
      </c>
      <c r="D419" s="1">
        <v>55.0</v>
      </c>
      <c r="E419" s="1">
        <v>290.0</v>
      </c>
    </row>
    <row r="420">
      <c r="A420" s="2">
        <v>45954.0</v>
      </c>
      <c r="B420" s="1">
        <v>293.0</v>
      </c>
      <c r="C420" s="1">
        <v>764800.0</v>
      </c>
      <c r="D420" s="1">
        <v>85.0</v>
      </c>
      <c r="E420" s="1">
        <v>290.0</v>
      </c>
    </row>
    <row r="421">
      <c r="A421" s="2">
        <v>45955.0</v>
      </c>
      <c r="B421" s="1">
        <v>318.0</v>
      </c>
      <c r="C421" s="1">
        <v>591100.0</v>
      </c>
      <c r="D421" s="1">
        <v>58.0</v>
      </c>
      <c r="E421" s="1">
        <v>290.0</v>
      </c>
    </row>
    <row r="422">
      <c r="A422" s="2">
        <v>45956.0</v>
      </c>
      <c r="B422" s="1">
        <v>313.0</v>
      </c>
      <c r="C422" s="1">
        <v>326000.0</v>
      </c>
      <c r="D422" s="1">
        <v>36.0</v>
      </c>
      <c r="E422" s="1">
        <v>290.0</v>
      </c>
    </row>
    <row r="423">
      <c r="A423" s="2">
        <v>45957.0</v>
      </c>
      <c r="B423" s="1">
        <v>284.0</v>
      </c>
      <c r="C423" s="1">
        <v>211100.0</v>
      </c>
      <c r="D423" s="1">
        <v>23.0</v>
      </c>
      <c r="E423" s="1">
        <v>290.0</v>
      </c>
    </row>
    <row r="424">
      <c r="A424" s="2">
        <v>45958.0</v>
      </c>
      <c r="B424" s="1">
        <v>249.0</v>
      </c>
      <c r="C424" s="1">
        <v>160800.0</v>
      </c>
      <c r="D424" s="1">
        <v>20.0</v>
      </c>
      <c r="E424" s="1">
        <v>290.0</v>
      </c>
    </row>
    <row r="425">
      <c r="A425" s="2">
        <v>45959.0</v>
      </c>
      <c r="B425" s="1">
        <v>235.0</v>
      </c>
      <c r="C425" s="1">
        <v>342500.0</v>
      </c>
      <c r="D425" s="1">
        <v>32.0</v>
      </c>
      <c r="E425" s="1">
        <v>290.0</v>
      </c>
    </row>
    <row r="426">
      <c r="A426" s="2">
        <v>45960.0</v>
      </c>
      <c r="B426" s="1">
        <v>205.0</v>
      </c>
      <c r="C426" s="1">
        <v>214500.0</v>
      </c>
      <c r="D426" s="1">
        <v>24.0</v>
      </c>
      <c r="E426" s="1">
        <v>290.0</v>
      </c>
    </row>
    <row r="427">
      <c r="A427" s="2">
        <v>45961.0</v>
      </c>
      <c r="B427" s="1">
        <v>202.0</v>
      </c>
      <c r="C427" s="1">
        <v>303900.0</v>
      </c>
      <c r="D427" s="1">
        <v>42.0</v>
      </c>
      <c r="E427" s="1">
        <v>290.0</v>
      </c>
    </row>
    <row r="428">
      <c r="A428" s="2">
        <v>45962.0</v>
      </c>
      <c r="B428" s="1">
        <v>184.0</v>
      </c>
      <c r="C428" s="1">
        <v>330300.0</v>
      </c>
      <c r="D428" s="1">
        <v>30.0</v>
      </c>
      <c r="E428" s="1">
        <v>290.0</v>
      </c>
    </row>
    <row r="429">
      <c r="A429" s="2">
        <v>45963.0</v>
      </c>
      <c r="B429" s="1">
        <v>170.0</v>
      </c>
      <c r="C429" s="1">
        <v>119200.0</v>
      </c>
      <c r="D429" s="1">
        <v>21.0</v>
      </c>
      <c r="E429" s="1">
        <v>290.0</v>
      </c>
    </row>
    <row r="430">
      <c r="A430" s="2">
        <v>45964.0</v>
      </c>
      <c r="B430" s="1">
        <v>148.0</v>
      </c>
      <c r="C430" s="1">
        <v>198400.0</v>
      </c>
      <c r="D430" s="1">
        <v>19.0</v>
      </c>
      <c r="E430" s="1">
        <v>290.0</v>
      </c>
    </row>
    <row r="431">
      <c r="A431" s="2">
        <v>45965.0</v>
      </c>
      <c r="B431" s="1">
        <v>130.0</v>
      </c>
      <c r="C431" s="1">
        <v>114300.0</v>
      </c>
      <c r="D431" s="1">
        <v>10.0</v>
      </c>
      <c r="E431" s="1">
        <v>290.0</v>
      </c>
    </row>
    <row r="432">
      <c r="A432" s="2">
        <v>45966.0</v>
      </c>
      <c r="B432" s="1">
        <v>128.0</v>
      </c>
      <c r="C432" s="1">
        <v>190100.0</v>
      </c>
      <c r="D432" s="1">
        <v>22.0</v>
      </c>
      <c r="E432" s="1">
        <v>290.0</v>
      </c>
    </row>
    <row r="433">
      <c r="A433" s="2">
        <v>45967.0</v>
      </c>
      <c r="B433" s="1">
        <v>131.0</v>
      </c>
      <c r="C433" s="1">
        <v>366100.0</v>
      </c>
      <c r="D433" s="1">
        <v>37.0</v>
      </c>
      <c r="E433" s="1">
        <v>290.0</v>
      </c>
    </row>
    <row r="434">
      <c r="A434" s="2">
        <v>45968.0</v>
      </c>
      <c r="B434" s="1">
        <v>153.0</v>
      </c>
      <c r="C434" s="1">
        <v>314100.0</v>
      </c>
      <c r="D434" s="1">
        <v>33.0</v>
      </c>
      <c r="E434" s="1">
        <v>290.0</v>
      </c>
    </row>
    <row r="435">
      <c r="A435" s="2">
        <v>45969.0</v>
      </c>
      <c r="B435" s="1">
        <v>147.0</v>
      </c>
      <c r="C435" s="1">
        <v>155000.0</v>
      </c>
      <c r="D435" s="1">
        <v>18.0</v>
      </c>
      <c r="E435" s="1">
        <v>290.0</v>
      </c>
    </row>
    <row r="436">
      <c r="A436" s="2">
        <v>45970.0</v>
      </c>
      <c r="B436" s="1">
        <v>153.0</v>
      </c>
      <c r="C436" s="1">
        <v>179600.0</v>
      </c>
      <c r="D436" s="1">
        <v>23.0</v>
      </c>
      <c r="E436" s="1">
        <v>290.0</v>
      </c>
    </row>
    <row r="437">
      <c r="A437" s="2">
        <v>45971.0</v>
      </c>
      <c r="B437" s="1">
        <v>135.0</v>
      </c>
      <c r="C437" s="1">
        <v>205900.0</v>
      </c>
      <c r="D437" s="1">
        <v>19.0</v>
      </c>
      <c r="E437" s="1">
        <v>290.0</v>
      </c>
    </row>
    <row r="438">
      <c r="A438" s="2">
        <v>45972.0</v>
      </c>
      <c r="B438" s="1">
        <v>110.0</v>
      </c>
      <c r="C438" s="1">
        <v>106100.0</v>
      </c>
      <c r="D438" s="1">
        <v>9.0</v>
      </c>
      <c r="E438" s="1">
        <v>290.0</v>
      </c>
    </row>
    <row r="439">
      <c r="A439" s="2">
        <v>45973.0</v>
      </c>
      <c r="B439" s="1">
        <v>120.0</v>
      </c>
      <c r="C439" s="1">
        <v>249900.0</v>
      </c>
      <c r="D439" s="1">
        <v>28.0</v>
      </c>
      <c r="E439" s="1">
        <v>290.0</v>
      </c>
    </row>
    <row r="440">
      <c r="A440" s="2">
        <v>45974.0</v>
      </c>
      <c r="B440" s="1">
        <v>108.0</v>
      </c>
      <c r="C440" s="1">
        <v>175800.0</v>
      </c>
      <c r="D440" s="1">
        <v>17.0</v>
      </c>
      <c r="E440" s="1">
        <v>290.0</v>
      </c>
    </row>
    <row r="441">
      <c r="A441" s="2">
        <v>45975.0</v>
      </c>
      <c r="B441" s="1">
        <v>121.0</v>
      </c>
      <c r="C441" s="1">
        <v>257300.0</v>
      </c>
      <c r="D441" s="1">
        <v>34.0</v>
      </c>
      <c r="E441" s="1">
        <v>290.0</v>
      </c>
    </row>
    <row r="442">
      <c r="A442" s="2">
        <v>45976.0</v>
      </c>
      <c r="B442" s="1">
        <v>128.0</v>
      </c>
      <c r="C442" s="1">
        <v>260100.0</v>
      </c>
      <c r="D442" s="1">
        <v>27.0</v>
      </c>
      <c r="E442" s="1">
        <v>290.0</v>
      </c>
    </row>
    <row r="443">
      <c r="A443" s="2">
        <v>45977.0</v>
      </c>
      <c r="B443" s="1">
        <v>114.0</v>
      </c>
      <c r="C443" s="1">
        <v>64200.0</v>
      </c>
      <c r="D443" s="1">
        <v>8.0</v>
      </c>
      <c r="E443" s="1">
        <v>290.0</v>
      </c>
    </row>
    <row r="444">
      <c r="A444" s="2">
        <v>45978.0</v>
      </c>
      <c r="B444" s="1">
        <v>103.0</v>
      </c>
      <c r="C444" s="1">
        <v>80300.0</v>
      </c>
      <c r="D444" s="1">
        <v>11.0</v>
      </c>
      <c r="E444" s="1">
        <v>290.0</v>
      </c>
    </row>
    <row r="445">
      <c r="A445" s="2">
        <v>45979.0</v>
      </c>
      <c r="B445" s="1">
        <v>99.0</v>
      </c>
      <c r="C445" s="1">
        <v>122400.0</v>
      </c>
      <c r="D445" s="1">
        <v>13.0</v>
      </c>
      <c r="E445" s="1">
        <v>290.0</v>
      </c>
    </row>
    <row r="446">
      <c r="A446" s="2">
        <v>45980.0</v>
      </c>
      <c r="B446" s="1">
        <v>99.0</v>
      </c>
      <c r="C446" s="1">
        <v>181500.0</v>
      </c>
      <c r="D446" s="1">
        <v>21.0</v>
      </c>
      <c r="E446" s="1">
        <v>290.0</v>
      </c>
    </row>
    <row r="447">
      <c r="A447" s="2">
        <v>45981.0</v>
      </c>
      <c r="B447" s="1">
        <v>96.0</v>
      </c>
      <c r="C447" s="1">
        <v>177100.0</v>
      </c>
      <c r="D447" s="1">
        <v>26.0</v>
      </c>
      <c r="E447" s="1">
        <v>290.0</v>
      </c>
    </row>
    <row r="448">
      <c r="A448" s="2">
        <v>45982.0</v>
      </c>
      <c r="B448" s="1">
        <v>121.0</v>
      </c>
      <c r="C448" s="1">
        <v>322200.0</v>
      </c>
      <c r="D448" s="1">
        <v>37.0</v>
      </c>
      <c r="E448" s="1">
        <v>290.0</v>
      </c>
    </row>
    <row r="449">
      <c r="A449" s="2">
        <v>45983.0</v>
      </c>
      <c r="B449" s="1">
        <v>128.0</v>
      </c>
      <c r="C449" s="1">
        <v>225400.0</v>
      </c>
      <c r="D449" s="1">
        <v>25.0</v>
      </c>
      <c r="E449" s="1">
        <v>290.0</v>
      </c>
    </row>
    <row r="450">
      <c r="A450" s="2">
        <v>45984.0</v>
      </c>
      <c r="B450" s="1">
        <v>117.0</v>
      </c>
      <c r="C450" s="1">
        <v>82700.0</v>
      </c>
      <c r="D450" s="1">
        <v>10.0</v>
      </c>
      <c r="E450" s="1">
        <v>290.0</v>
      </c>
    </row>
    <row r="451">
      <c r="A451" s="2">
        <v>45985.0</v>
      </c>
      <c r="B451" s="1">
        <v>111.0</v>
      </c>
      <c r="C451" s="1">
        <v>161000.0</v>
      </c>
      <c r="D451" s="1">
        <v>21.0</v>
      </c>
      <c r="E451" s="1">
        <v>290.0</v>
      </c>
    </row>
    <row r="452">
      <c r="A452" s="2">
        <v>45986.0</v>
      </c>
      <c r="B452" s="1">
        <v>98.0</v>
      </c>
      <c r="C452" s="1">
        <v>129400.0</v>
      </c>
      <c r="D452" s="1">
        <v>16.0</v>
      </c>
      <c r="E452" s="1">
        <v>290.0</v>
      </c>
    </row>
    <row r="453">
      <c r="A453" s="2">
        <v>45987.0</v>
      </c>
      <c r="B453" s="1">
        <v>98.0</v>
      </c>
      <c r="C453" s="1">
        <v>136700.0</v>
      </c>
      <c r="D453" s="1">
        <v>16.0</v>
      </c>
      <c r="E453" s="1">
        <v>290.0</v>
      </c>
    </row>
    <row r="454">
      <c r="A454" s="2">
        <v>45988.0</v>
      </c>
      <c r="B454" s="1">
        <v>92.0</v>
      </c>
      <c r="C454" s="1">
        <v>168500.0</v>
      </c>
      <c r="D454" s="1">
        <v>22.0</v>
      </c>
      <c r="E454" s="1">
        <v>290.0</v>
      </c>
    </row>
    <row r="455">
      <c r="A455" s="2">
        <v>45989.0</v>
      </c>
      <c r="B455" s="1">
        <v>106.0</v>
      </c>
      <c r="C455" s="1">
        <v>229600.0</v>
      </c>
      <c r="D455" s="1">
        <v>29.0</v>
      </c>
      <c r="E455" s="1">
        <v>290.0</v>
      </c>
    </row>
    <row r="456">
      <c r="A456" s="2">
        <v>45990.0</v>
      </c>
      <c r="B456" s="1">
        <v>115.0</v>
      </c>
      <c r="C456" s="1">
        <v>199600.0</v>
      </c>
      <c r="D456" s="1">
        <v>24.0</v>
      </c>
      <c r="E456" s="1">
        <v>290.0</v>
      </c>
    </row>
    <row r="457">
      <c r="A457" s="2">
        <v>45991.0</v>
      </c>
      <c r="B457" s="1">
        <v>109.0</v>
      </c>
      <c r="C457" s="1">
        <v>117400.0</v>
      </c>
      <c r="D457" s="1">
        <v>11.0</v>
      </c>
      <c r="E457" s="1">
        <v>290.0</v>
      </c>
    </row>
    <row r="458">
      <c r="A458" s="2">
        <v>45992.0</v>
      </c>
      <c r="B458" s="1">
        <v>90.0</v>
      </c>
      <c r="C458" s="1">
        <v>82500.0</v>
      </c>
      <c r="D458" s="1">
        <v>11.0</v>
      </c>
      <c r="E458" s="1">
        <v>290.0</v>
      </c>
    </row>
    <row r="459">
      <c r="A459" s="2">
        <v>45993.0</v>
      </c>
      <c r="B459" s="1">
        <v>86.0</v>
      </c>
      <c r="C459" s="1">
        <v>221800.0</v>
      </c>
      <c r="D459" s="1">
        <v>26.0</v>
      </c>
      <c r="E459" s="1">
        <v>290.0</v>
      </c>
    </row>
    <row r="460">
      <c r="A460" s="2">
        <v>45994.0</v>
      </c>
      <c r="B460" s="1">
        <v>90.0</v>
      </c>
      <c r="C460" s="1">
        <v>190100.0</v>
      </c>
      <c r="D460" s="1">
        <v>23.0</v>
      </c>
      <c r="E460" s="1">
        <v>290.0</v>
      </c>
    </row>
    <row r="461">
      <c r="A461" s="2">
        <v>45995.0</v>
      </c>
      <c r="B461" s="1">
        <v>100.0</v>
      </c>
      <c r="C461" s="1">
        <v>241100.0</v>
      </c>
      <c r="D461" s="1">
        <v>25.0</v>
      </c>
      <c r="E461" s="1">
        <v>290.0</v>
      </c>
    </row>
    <row r="462">
      <c r="A462" s="2">
        <v>45996.0</v>
      </c>
      <c r="B462" s="1">
        <v>119.0</v>
      </c>
      <c r="C462" s="1">
        <v>238400.0</v>
      </c>
      <c r="D462" s="1">
        <v>27.0</v>
      </c>
      <c r="E462" s="1">
        <v>290.0</v>
      </c>
    </row>
    <row r="463">
      <c r="A463" s="2">
        <v>45997.0</v>
      </c>
      <c r="B463" s="1">
        <v>111.0</v>
      </c>
      <c r="C463" s="1">
        <v>136800.0</v>
      </c>
      <c r="D463" s="1">
        <v>16.0</v>
      </c>
      <c r="E463" s="1">
        <v>290.0</v>
      </c>
    </row>
    <row r="464">
      <c r="A464" s="2">
        <v>45998.0</v>
      </c>
      <c r="B464" s="1">
        <v>102.0</v>
      </c>
      <c r="C464" s="1">
        <v>105100.0</v>
      </c>
      <c r="D464" s="1">
        <v>8.0</v>
      </c>
      <c r="E464" s="1">
        <v>290.0</v>
      </c>
    </row>
    <row r="465">
      <c r="A465" s="2">
        <v>45999.0</v>
      </c>
      <c r="B465" s="1">
        <v>85.0</v>
      </c>
      <c r="C465" s="1">
        <v>119200.0</v>
      </c>
      <c r="D465" s="1">
        <v>16.0</v>
      </c>
      <c r="E465" s="1">
        <v>290.0</v>
      </c>
    </row>
    <row r="466">
      <c r="A466" s="2">
        <v>46000.0</v>
      </c>
      <c r="B466" s="1">
        <v>76.0</v>
      </c>
      <c r="C466" s="1">
        <v>112600.0</v>
      </c>
      <c r="D466" s="1">
        <v>17.0</v>
      </c>
      <c r="E466" s="1">
        <v>290.0</v>
      </c>
    </row>
    <row r="467">
      <c r="A467" s="2">
        <v>46001.0</v>
      </c>
      <c r="B467" s="1">
        <v>76.0</v>
      </c>
      <c r="C467" s="1">
        <v>109400.0</v>
      </c>
      <c r="D467" s="1">
        <v>10.0</v>
      </c>
      <c r="E467" s="1">
        <v>290.0</v>
      </c>
    </row>
    <row r="468">
      <c r="A468" s="2">
        <v>46002.0</v>
      </c>
      <c r="B468" s="1">
        <v>84.0</v>
      </c>
      <c r="C468" s="1">
        <v>150500.0</v>
      </c>
      <c r="D468" s="1">
        <v>17.0</v>
      </c>
      <c r="E468" s="1">
        <v>290.0</v>
      </c>
    </row>
    <row r="469">
      <c r="A469" s="2">
        <v>46003.0</v>
      </c>
      <c r="B469" s="1">
        <v>87.0</v>
      </c>
      <c r="C469" s="1">
        <v>169100.0</v>
      </c>
      <c r="D469" s="1">
        <v>22.0</v>
      </c>
      <c r="E469" s="1">
        <v>290.0</v>
      </c>
    </row>
    <row r="470">
      <c r="A470" s="2">
        <v>46004.0</v>
      </c>
      <c r="B470" s="1">
        <v>91.0</v>
      </c>
      <c r="C470" s="1">
        <v>151000.0</v>
      </c>
      <c r="D470" s="1">
        <v>19.0</v>
      </c>
      <c r="E470" s="1">
        <v>290.0</v>
      </c>
    </row>
    <row r="471">
      <c r="A471" s="2">
        <v>46005.0</v>
      </c>
      <c r="B471" s="1">
        <v>89.0</v>
      </c>
      <c r="C471" s="1">
        <v>77800.0</v>
      </c>
      <c r="D471" s="1">
        <v>8.0</v>
      </c>
      <c r="E471" s="1">
        <v>290.0</v>
      </c>
    </row>
    <row r="472">
      <c r="A472" s="2">
        <v>46006.0</v>
      </c>
      <c r="B472" s="1">
        <v>82.0</v>
      </c>
      <c r="C472" s="1">
        <v>120100.0</v>
      </c>
      <c r="D472" s="1">
        <v>15.0</v>
      </c>
      <c r="E472" s="1">
        <v>290.0</v>
      </c>
    </row>
    <row r="473">
      <c r="A473" s="2">
        <v>46007.0</v>
      </c>
      <c r="B473" s="1">
        <v>76.0</v>
      </c>
      <c r="C473" s="1">
        <v>136000.0</v>
      </c>
      <c r="D473" s="1">
        <v>16.0</v>
      </c>
      <c r="E473" s="1">
        <v>290.0</v>
      </c>
    </row>
    <row r="474">
      <c r="A474" s="2">
        <v>46008.0</v>
      </c>
      <c r="B474" s="1">
        <v>81.0</v>
      </c>
      <c r="C474" s="1">
        <v>96000.0</v>
      </c>
      <c r="D474" s="1">
        <v>12.0</v>
      </c>
      <c r="E474" s="1">
        <v>290.0</v>
      </c>
    </row>
    <row r="475">
      <c r="A475" s="2">
        <v>46009.0</v>
      </c>
      <c r="B475" s="1">
        <v>74.0</v>
      </c>
      <c r="C475" s="1">
        <v>111900.0</v>
      </c>
      <c r="D475" s="1">
        <v>9.0</v>
      </c>
      <c r="E475" s="1">
        <v>290.0</v>
      </c>
    </row>
    <row r="476">
      <c r="A476" s="2">
        <v>46010.0</v>
      </c>
      <c r="B476" s="1">
        <v>90.0</v>
      </c>
      <c r="C476" s="1">
        <v>284400.0</v>
      </c>
      <c r="D476" s="1">
        <v>27.0</v>
      </c>
      <c r="E476" s="1">
        <v>290.0</v>
      </c>
    </row>
    <row r="477">
      <c r="A477" s="2">
        <v>46011.0</v>
      </c>
      <c r="B477" s="1">
        <v>95.0</v>
      </c>
      <c r="C477" s="1">
        <v>259200.0</v>
      </c>
      <c r="D477" s="1">
        <v>20.0</v>
      </c>
      <c r="E477" s="1">
        <v>290.0</v>
      </c>
    </row>
    <row r="478">
      <c r="A478" s="2">
        <v>46012.0</v>
      </c>
      <c r="B478" s="1">
        <v>91.0</v>
      </c>
      <c r="C478" s="1">
        <v>124300.0</v>
      </c>
      <c r="D478" s="1">
        <v>10.0</v>
      </c>
      <c r="E478" s="1">
        <v>290.0</v>
      </c>
    </row>
    <row r="479">
      <c r="A479" s="2">
        <v>46013.0</v>
      </c>
      <c r="B479" s="1">
        <v>89.0</v>
      </c>
      <c r="C479" s="1">
        <v>171400.0</v>
      </c>
      <c r="D479" s="1">
        <v>21.0</v>
      </c>
      <c r="E479" s="1">
        <v>290.0</v>
      </c>
    </row>
    <row r="480">
      <c r="A480" s="2">
        <v>46014.0</v>
      </c>
      <c r="B480" s="1">
        <v>90.0</v>
      </c>
      <c r="C480" s="1">
        <v>186300.0</v>
      </c>
      <c r="D480" s="1">
        <v>16.0</v>
      </c>
      <c r="E480" s="1">
        <v>290.0</v>
      </c>
    </row>
    <row r="481">
      <c r="A481" s="2">
        <v>46015.0</v>
      </c>
      <c r="B481" s="1">
        <v>91.0</v>
      </c>
      <c r="C481" s="1">
        <v>165100.0</v>
      </c>
      <c r="D481" s="1">
        <v>11.0</v>
      </c>
      <c r="E481" s="1">
        <v>290.0</v>
      </c>
    </row>
    <row r="482">
      <c r="A482" s="2">
        <v>46016.0</v>
      </c>
      <c r="B482" s="1">
        <v>101.0</v>
      </c>
      <c r="C482" s="1">
        <v>215300.0</v>
      </c>
      <c r="D482" s="1">
        <v>21.0</v>
      </c>
      <c r="E482" s="1">
        <v>290.0</v>
      </c>
    </row>
    <row r="483">
      <c r="A483" s="2">
        <v>46017.0</v>
      </c>
      <c r="B483" s="1">
        <v>122.0</v>
      </c>
      <c r="C483" s="1">
        <v>341700.0</v>
      </c>
      <c r="D483" s="1">
        <v>30.0</v>
      </c>
      <c r="E483" s="1">
        <v>290.0</v>
      </c>
    </row>
    <row r="484">
      <c r="A484" s="2">
        <v>46018.0</v>
      </c>
      <c r="B484" s="1">
        <v>136.0</v>
      </c>
      <c r="C484" s="1">
        <v>214800.0</v>
      </c>
      <c r="D484" s="1">
        <v>21.0</v>
      </c>
      <c r="E484" s="1">
        <v>290.0</v>
      </c>
    </row>
    <row r="485">
      <c r="A485" s="2">
        <v>46019.0</v>
      </c>
      <c r="B485" s="1">
        <v>148.0</v>
      </c>
      <c r="C485" s="1">
        <v>277300.0</v>
      </c>
      <c r="D485" s="1">
        <v>24.0</v>
      </c>
      <c r="E485" s="1">
        <v>290.0</v>
      </c>
    </row>
    <row r="486">
      <c r="A486" s="2">
        <v>46020.0</v>
      </c>
      <c r="B486" s="1">
        <v>153.0</v>
      </c>
      <c r="C486" s="1">
        <v>196100.0</v>
      </c>
      <c r="D486" s="1">
        <v>21.0</v>
      </c>
      <c r="E486" s="1">
        <v>290.0</v>
      </c>
    </row>
    <row r="487">
      <c r="A487" s="2">
        <v>46021.0</v>
      </c>
      <c r="B487" s="1">
        <v>159.0</v>
      </c>
      <c r="C487" s="1">
        <v>150200.0</v>
      </c>
      <c r="D487" s="1">
        <v>18.0</v>
      </c>
      <c r="E487" s="1">
        <v>290.0</v>
      </c>
    </row>
    <row r="488">
      <c r="A488" s="2">
        <v>46022.0</v>
      </c>
      <c r="B488" s="1">
        <v>170.0</v>
      </c>
      <c r="C488" s="1">
        <v>304600.0</v>
      </c>
      <c r="D488" s="1">
        <v>31.0</v>
      </c>
      <c r="E488" s="1">
        <v>290.0</v>
      </c>
    </row>
    <row r="489">
      <c r="A489" s="2">
        <v>46023.0</v>
      </c>
      <c r="B489" s="1">
        <v>166.0</v>
      </c>
      <c r="C489" s="1">
        <v>124200.0</v>
      </c>
      <c r="D489" s="1">
        <v>15.0</v>
      </c>
      <c r="E489" s="1">
        <v>290.0</v>
      </c>
    </row>
    <row r="490">
      <c r="A490" s="2">
        <v>46024.0</v>
      </c>
      <c r="B490" s="1">
        <v>170.0</v>
      </c>
      <c r="C490" s="1">
        <v>197300.0</v>
      </c>
      <c r="D490" s="1">
        <v>17.0</v>
      </c>
      <c r="E490" s="1">
        <v>290.0</v>
      </c>
    </row>
    <row r="491">
      <c r="A491" s="2">
        <v>46025.0</v>
      </c>
      <c r="B491" s="1">
        <v>145.0</v>
      </c>
      <c r="C491" s="1">
        <v>70400.0</v>
      </c>
      <c r="D491" s="1">
        <v>6.0</v>
      </c>
      <c r="E491" s="1">
        <v>290.0</v>
      </c>
    </row>
    <row r="492">
      <c r="A492" s="2">
        <v>46026.0</v>
      </c>
      <c r="B492" s="1">
        <v>126.0</v>
      </c>
      <c r="C492" s="1">
        <v>132600.0</v>
      </c>
      <c r="D492" s="1">
        <v>15.0</v>
      </c>
      <c r="E492" s="1">
        <v>290.0</v>
      </c>
    </row>
    <row r="493">
      <c r="A493" s="2">
        <v>46027.0</v>
      </c>
      <c r="B493" s="1">
        <v>103.0</v>
      </c>
      <c r="C493" s="1">
        <v>180300.0</v>
      </c>
      <c r="D493" s="1">
        <v>12.0</v>
      </c>
      <c r="E493" s="1">
        <v>290.0</v>
      </c>
    </row>
    <row r="494">
      <c r="A494" s="2">
        <v>46028.0</v>
      </c>
      <c r="B494" s="1">
        <v>97.0</v>
      </c>
      <c r="C494" s="1">
        <v>173800.0</v>
      </c>
      <c r="D494" s="1">
        <v>13.0</v>
      </c>
      <c r="E494" s="1">
        <v>290.0</v>
      </c>
    </row>
    <row r="495">
      <c r="A495" s="2">
        <v>46029.0</v>
      </c>
      <c r="B495" s="1">
        <v>94.0</v>
      </c>
      <c r="C495" s="1">
        <v>113800.0</v>
      </c>
      <c r="D495" s="1">
        <v>11.0</v>
      </c>
      <c r="E495" s="1">
        <v>290.0</v>
      </c>
    </row>
    <row r="496">
      <c r="A496" s="2">
        <v>46030.0</v>
      </c>
      <c r="B496" s="1">
        <v>92.0</v>
      </c>
      <c r="C496" s="1">
        <v>126400.0</v>
      </c>
      <c r="D496" s="1">
        <v>16.0</v>
      </c>
      <c r="E496" s="1">
        <v>290.0</v>
      </c>
    </row>
    <row r="497">
      <c r="A497" s="2">
        <v>46031.0</v>
      </c>
      <c r="B497" s="1">
        <v>106.0</v>
      </c>
      <c r="C497" s="1">
        <v>209600.0</v>
      </c>
      <c r="D497" s="1">
        <v>22.0</v>
      </c>
      <c r="E497" s="1">
        <v>290.0</v>
      </c>
    </row>
    <row r="498">
      <c r="A498" s="2">
        <v>46032.0</v>
      </c>
      <c r="B498" s="1">
        <v>112.0</v>
      </c>
      <c r="C498" s="1">
        <v>160600.0</v>
      </c>
      <c r="D498" s="1">
        <v>18.0</v>
      </c>
      <c r="E498" s="1">
        <v>290.0</v>
      </c>
    </row>
    <row r="499">
      <c r="A499" s="2">
        <v>46033.0</v>
      </c>
      <c r="B499" s="1">
        <v>103.0</v>
      </c>
      <c r="C499" s="1">
        <v>98100.0</v>
      </c>
      <c r="D499" s="1">
        <v>10.0</v>
      </c>
      <c r="E499" s="1">
        <v>290.0</v>
      </c>
    </row>
    <row r="500">
      <c r="A500" s="2">
        <v>46034.0</v>
      </c>
      <c r="B500" s="1">
        <v>107.0</v>
      </c>
      <c r="C500" s="1">
        <v>249800.0</v>
      </c>
      <c r="D500" s="1">
        <v>20.0</v>
      </c>
      <c r="E500" s="1">
        <v>290.0</v>
      </c>
    </row>
    <row r="501">
      <c r="A501" s="2">
        <v>46035.0</v>
      </c>
      <c r="B501" s="1">
        <v>102.0</v>
      </c>
      <c r="C501" s="1">
        <v>156500.0</v>
      </c>
      <c r="D501" s="1">
        <v>16.0</v>
      </c>
      <c r="E501" s="1">
        <v>290.0</v>
      </c>
    </row>
    <row r="502">
      <c r="A502" s="2">
        <v>46036.0</v>
      </c>
      <c r="B502" s="1">
        <v>101.0</v>
      </c>
      <c r="C502" s="1">
        <v>102800.0</v>
      </c>
      <c r="D502" s="1">
        <v>17.0</v>
      </c>
      <c r="E502" s="1">
        <v>290.0</v>
      </c>
    </row>
    <row r="503">
      <c r="A503" s="2">
        <v>46037.0</v>
      </c>
      <c r="B503" s="1">
        <v>110.0</v>
      </c>
      <c r="C503" s="1">
        <v>253900.0</v>
      </c>
      <c r="D503" s="1">
        <v>26.0</v>
      </c>
      <c r="E503" s="1">
        <v>290.0</v>
      </c>
    </row>
    <row r="504">
      <c r="A504" s="2">
        <v>46038.0</v>
      </c>
      <c r="B504" s="1">
        <v>110.0</v>
      </c>
      <c r="C504" s="1">
        <v>231800.0</v>
      </c>
      <c r="D504" s="1">
        <v>19.0</v>
      </c>
      <c r="E504" s="1">
        <v>290.0</v>
      </c>
    </row>
    <row r="505">
      <c r="A505" s="2">
        <v>46039.0</v>
      </c>
      <c r="B505" s="1">
        <v>114.0</v>
      </c>
      <c r="C505" s="1">
        <v>199900.0</v>
      </c>
      <c r="D505" s="1">
        <v>25.0</v>
      </c>
      <c r="E505" s="1">
        <v>290.0</v>
      </c>
    </row>
    <row r="506">
      <c r="A506" s="2">
        <v>46040.0</v>
      </c>
      <c r="B506" s="1">
        <v>110.0</v>
      </c>
      <c r="C506" s="1">
        <v>147000.0</v>
      </c>
      <c r="D506" s="1">
        <v>12.0</v>
      </c>
      <c r="E506" s="1">
        <v>290.0</v>
      </c>
    </row>
    <row r="507">
      <c r="A507" s="2">
        <v>46041.0</v>
      </c>
      <c r="B507" s="1">
        <v>104.0</v>
      </c>
      <c r="C507" s="1">
        <v>178100.0</v>
      </c>
      <c r="D507" s="1">
        <v>23.0</v>
      </c>
      <c r="E507" s="1">
        <v>290.0</v>
      </c>
    </row>
    <row r="508">
      <c r="A508" s="2">
        <v>46042.0</v>
      </c>
      <c r="B508" s="1">
        <v>99.0</v>
      </c>
      <c r="C508" s="1">
        <v>164300.0</v>
      </c>
      <c r="D508" s="1">
        <v>17.0</v>
      </c>
      <c r="E508" s="1">
        <v>290.0</v>
      </c>
    </row>
    <row r="509">
      <c r="A509" s="2">
        <v>46043.0</v>
      </c>
      <c r="B509" s="1">
        <v>94.0</v>
      </c>
      <c r="C509" s="1">
        <v>115200.0</v>
      </c>
      <c r="D509" s="1">
        <v>13.0</v>
      </c>
      <c r="E509" s="1">
        <v>290.0</v>
      </c>
    </row>
    <row r="510">
      <c r="A510" s="2">
        <v>46044.0</v>
      </c>
      <c r="B510" s="1">
        <v>100.0</v>
      </c>
      <c r="C510" s="1">
        <v>176100.0</v>
      </c>
      <c r="D510" s="1">
        <v>29.0</v>
      </c>
      <c r="E510" s="1">
        <v>290.0</v>
      </c>
    </row>
    <row r="511">
      <c r="A511" s="2">
        <v>46045.0</v>
      </c>
      <c r="B511" s="1">
        <v>112.0</v>
      </c>
      <c r="C511" s="1">
        <v>291300.0</v>
      </c>
      <c r="D511" s="1">
        <v>36.0</v>
      </c>
      <c r="E511" s="1">
        <v>290.0</v>
      </c>
    </row>
    <row r="512">
      <c r="A512" s="2">
        <v>46046.0</v>
      </c>
      <c r="B512" s="1">
        <v>124.0</v>
      </c>
      <c r="C512" s="1">
        <v>210800.0</v>
      </c>
      <c r="D512" s="1">
        <v>24.0</v>
      </c>
      <c r="E512" s="1">
        <v>290.0</v>
      </c>
    </row>
    <row r="513">
      <c r="A513" s="2">
        <v>46047.0</v>
      </c>
      <c r="B513" s="1">
        <v>126.0</v>
      </c>
      <c r="C513" s="1">
        <v>131700.0</v>
      </c>
      <c r="D513" s="1">
        <v>17.0</v>
      </c>
      <c r="E513" s="1">
        <v>290.0</v>
      </c>
    </row>
    <row r="514">
      <c r="A514" s="2">
        <v>46048.0</v>
      </c>
      <c r="B514" s="1">
        <v>107.0</v>
      </c>
      <c r="C514" s="1">
        <v>132200.0</v>
      </c>
      <c r="D514" s="1">
        <v>12.0</v>
      </c>
      <c r="E514" s="1">
        <v>290.0</v>
      </c>
    </row>
    <row r="515">
      <c r="A515" s="2">
        <v>46049.0</v>
      </c>
      <c r="B515" s="1">
        <v>104.0</v>
      </c>
      <c r="C515" s="1">
        <v>223800.0</v>
      </c>
      <c r="D515" s="1">
        <v>21.0</v>
      </c>
      <c r="E515" s="1">
        <v>290.0</v>
      </c>
    </row>
    <row r="516">
      <c r="A516" s="2">
        <v>46050.0</v>
      </c>
      <c r="B516" s="1">
        <v>106.0</v>
      </c>
      <c r="C516" s="1">
        <v>158700.0</v>
      </c>
      <c r="D516" s="1">
        <v>16.0</v>
      </c>
      <c r="E516" s="1">
        <v>290.0</v>
      </c>
    </row>
    <row r="517">
      <c r="A517" s="2">
        <v>46051.0</v>
      </c>
      <c r="B517" s="1">
        <v>103.0</v>
      </c>
      <c r="C517" s="1">
        <v>150600.0</v>
      </c>
      <c r="D517" s="1">
        <v>19.0</v>
      </c>
      <c r="E517" s="1">
        <v>290.0</v>
      </c>
    </row>
    <row r="518">
      <c r="A518" s="2">
        <v>46052.0</v>
      </c>
      <c r="B518" s="1">
        <v>122.0</v>
      </c>
      <c r="C518" s="1">
        <v>307000.0</v>
      </c>
      <c r="D518" s="1">
        <v>36.0</v>
      </c>
      <c r="E518" s="1">
        <v>290.0</v>
      </c>
    </row>
    <row r="519">
      <c r="A519" s="2">
        <v>46053.0</v>
      </c>
      <c r="B519" s="1">
        <v>125.0</v>
      </c>
      <c r="C519" s="1">
        <v>128900.0</v>
      </c>
      <c r="D519" s="1">
        <v>17.0</v>
      </c>
      <c r="E519" s="1">
        <v>290.0</v>
      </c>
    </row>
    <row r="520">
      <c r="A520" s="2">
        <v>46054.0</v>
      </c>
      <c r="B520" s="1">
        <v>130.0</v>
      </c>
      <c r="C520" s="1">
        <v>149100.0</v>
      </c>
      <c r="D520" s="1">
        <v>14.0</v>
      </c>
      <c r="E520" s="1">
        <v>290.0</v>
      </c>
    </row>
    <row r="521">
      <c r="A521" s="2">
        <v>46055.0</v>
      </c>
      <c r="B521" s="1">
        <v>96.0</v>
      </c>
      <c r="C521" s="1">
        <v>82800.0</v>
      </c>
      <c r="D521" s="1">
        <v>16.0</v>
      </c>
      <c r="E521" s="1">
        <v>290.0</v>
      </c>
    </row>
    <row r="522">
      <c r="A522" s="2">
        <v>46056.0</v>
      </c>
      <c r="B522" s="1">
        <v>89.0</v>
      </c>
      <c r="C522" s="1">
        <v>170100.0</v>
      </c>
      <c r="D522" s="1">
        <v>18.0</v>
      </c>
      <c r="E522" s="1">
        <v>290.0</v>
      </c>
    </row>
    <row r="523">
      <c r="A523" s="2">
        <v>46057.0</v>
      </c>
      <c r="B523" s="1">
        <v>102.0</v>
      </c>
      <c r="C523" s="1">
        <v>243600.0</v>
      </c>
      <c r="D523" s="1">
        <v>19.0</v>
      </c>
      <c r="E523" s="1">
        <v>290.0</v>
      </c>
    </row>
    <row r="524">
      <c r="A524" s="2">
        <v>46058.0</v>
      </c>
      <c r="B524" s="1">
        <v>106.0</v>
      </c>
      <c r="C524" s="1">
        <v>191600.0</v>
      </c>
      <c r="D524" s="1">
        <v>21.0</v>
      </c>
      <c r="E524" s="1">
        <v>290.0</v>
      </c>
    </row>
    <row r="525">
      <c r="A525" s="2">
        <v>46059.0</v>
      </c>
      <c r="B525" s="1">
        <v>127.0</v>
      </c>
      <c r="C525" s="1">
        <v>321600.0</v>
      </c>
      <c r="D525" s="1">
        <v>36.0</v>
      </c>
      <c r="E525" s="1">
        <v>290.0</v>
      </c>
    </row>
    <row r="526">
      <c r="A526" s="2">
        <v>46060.0</v>
      </c>
      <c r="B526" s="1">
        <v>138.0</v>
      </c>
      <c r="C526" s="1">
        <v>154800.0</v>
      </c>
      <c r="D526" s="1">
        <v>22.0</v>
      </c>
      <c r="E526" s="1">
        <v>290.0</v>
      </c>
    </row>
    <row r="527">
      <c r="A527" s="2">
        <v>46061.0</v>
      </c>
      <c r="B527" s="1">
        <v>133.0</v>
      </c>
      <c r="C527" s="1">
        <v>142700.0</v>
      </c>
      <c r="D527" s="1">
        <v>13.0</v>
      </c>
      <c r="E527" s="1">
        <v>290.0</v>
      </c>
    </row>
    <row r="528">
      <c r="A528" s="2">
        <v>46062.0</v>
      </c>
      <c r="B528" s="1">
        <v>112.0</v>
      </c>
      <c r="C528" s="1">
        <v>132800.0</v>
      </c>
      <c r="D528" s="1">
        <v>14.0</v>
      </c>
      <c r="E528" s="1">
        <v>290.0</v>
      </c>
    </row>
    <row r="529">
      <c r="A529" s="2">
        <v>46063.0</v>
      </c>
      <c r="B529" s="1">
        <v>87.0</v>
      </c>
      <c r="C529" s="1">
        <v>56900.0</v>
      </c>
      <c r="D529" s="1">
        <v>8.0</v>
      </c>
      <c r="E529" s="1">
        <v>290.0</v>
      </c>
    </row>
    <row r="530">
      <c r="A530" s="2">
        <v>46064.0</v>
      </c>
      <c r="B530" s="1">
        <v>84.0</v>
      </c>
      <c r="C530" s="1">
        <v>126600.0</v>
      </c>
      <c r="D530" s="1">
        <v>16.0</v>
      </c>
      <c r="E530" s="1">
        <v>290.0</v>
      </c>
    </row>
    <row r="531">
      <c r="A531" s="2">
        <v>46065.0</v>
      </c>
      <c r="B531" s="1">
        <v>89.0</v>
      </c>
      <c r="C531" s="1">
        <v>247700.0</v>
      </c>
      <c r="D531" s="1">
        <v>32.0</v>
      </c>
      <c r="E531" s="1">
        <v>290.0</v>
      </c>
    </row>
    <row r="532">
      <c r="A532" s="2">
        <v>46066.0</v>
      </c>
      <c r="B532" s="1">
        <v>109.0</v>
      </c>
      <c r="C532" s="1">
        <v>319300.0</v>
      </c>
      <c r="D532" s="1">
        <v>38.0</v>
      </c>
      <c r="E532" s="1">
        <v>290.0</v>
      </c>
    </row>
    <row r="533">
      <c r="A533" s="2">
        <v>46067.0</v>
      </c>
      <c r="B533" s="1">
        <v>120.0</v>
      </c>
      <c r="C533" s="1">
        <v>156100.0</v>
      </c>
      <c r="D533" s="1">
        <v>17.0</v>
      </c>
      <c r="E533" s="1">
        <v>290.0</v>
      </c>
    </row>
    <row r="534">
      <c r="A534" s="2">
        <v>46068.0</v>
      </c>
      <c r="B534" s="1">
        <v>124.0</v>
      </c>
      <c r="C534" s="1">
        <v>240300.0</v>
      </c>
      <c r="D534" s="1">
        <v>25.0</v>
      </c>
      <c r="E534" s="1">
        <v>290.0</v>
      </c>
    </row>
    <row r="535">
      <c r="A535" s="2">
        <v>46069.0</v>
      </c>
      <c r="B535" s="1">
        <v>107.0</v>
      </c>
      <c r="C535" s="1">
        <v>141600.0</v>
      </c>
      <c r="D535" s="1">
        <v>23.0</v>
      </c>
      <c r="E535" s="1">
        <v>290.0</v>
      </c>
    </row>
    <row r="536">
      <c r="A536" s="2">
        <v>46070.0</v>
      </c>
      <c r="B536" s="1">
        <v>99.0</v>
      </c>
      <c r="C536" s="1">
        <v>162700.0</v>
      </c>
      <c r="D536" s="1">
        <v>19.0</v>
      </c>
      <c r="E536" s="1">
        <v>290.0</v>
      </c>
    </row>
    <row r="537">
      <c r="A537" s="2">
        <v>46071.0</v>
      </c>
      <c r="B537" s="1">
        <v>109.0</v>
      </c>
      <c r="C537" s="1">
        <v>175200.0</v>
      </c>
      <c r="D537" s="1">
        <v>20.0</v>
      </c>
      <c r="E537" s="1">
        <v>290.0</v>
      </c>
    </row>
    <row r="538">
      <c r="A538" s="2">
        <v>46072.0</v>
      </c>
      <c r="B538" s="1">
        <v>109.0</v>
      </c>
      <c r="C538" s="1">
        <v>121700.0</v>
      </c>
      <c r="D538" s="1">
        <v>14.0</v>
      </c>
      <c r="E538" s="1">
        <v>290.0</v>
      </c>
    </row>
    <row r="539">
      <c r="A539" s="2">
        <v>46073.0</v>
      </c>
      <c r="B539" s="1">
        <v>125.0</v>
      </c>
      <c r="C539" s="1">
        <v>251400.0</v>
      </c>
      <c r="D539" s="1">
        <v>28.0</v>
      </c>
      <c r="E539" s="1">
        <v>290.0</v>
      </c>
    </row>
    <row r="540">
      <c r="A540" s="2">
        <v>46074.0</v>
      </c>
      <c r="B540" s="1">
        <v>130.0</v>
      </c>
      <c r="C540" s="1">
        <v>187500.0</v>
      </c>
      <c r="D540" s="1">
        <v>27.0</v>
      </c>
      <c r="E540" s="1">
        <v>290.0</v>
      </c>
    </row>
    <row r="541">
      <c r="A541" s="2">
        <v>46075.0</v>
      </c>
      <c r="B541" s="1">
        <v>117.0</v>
      </c>
      <c r="C541" s="1">
        <v>56600.0</v>
      </c>
      <c r="D541" s="1">
        <v>7.0</v>
      </c>
      <c r="E541" s="1">
        <v>290.0</v>
      </c>
    </row>
    <row r="542">
      <c r="A542" s="2">
        <v>46076.0</v>
      </c>
      <c r="B542" s="1">
        <v>100.0</v>
      </c>
      <c r="C542" s="1">
        <v>117900.0</v>
      </c>
      <c r="D542" s="1">
        <v>13.0</v>
      </c>
      <c r="E542" s="1">
        <v>290.0</v>
      </c>
    </row>
    <row r="543">
      <c r="A543" s="2">
        <v>46077.0</v>
      </c>
      <c r="B543" s="1">
        <v>87.0</v>
      </c>
      <c r="C543" s="1">
        <v>49900.0</v>
      </c>
      <c r="D543" s="1">
        <v>5.0</v>
      </c>
      <c r="E543" s="1">
        <v>290.0</v>
      </c>
    </row>
    <row r="544">
      <c r="A544" s="2">
        <v>46078.0</v>
      </c>
      <c r="B544" s="1">
        <v>82.0</v>
      </c>
      <c r="C544" s="1">
        <v>171350.0</v>
      </c>
      <c r="D544" s="1">
        <v>21.0</v>
      </c>
      <c r="E544" s="1">
        <v>290.0</v>
      </c>
    </row>
    <row r="545">
      <c r="A545" s="2">
        <v>46079.0</v>
      </c>
      <c r="B545" s="1">
        <v>91.0</v>
      </c>
      <c r="C545" s="1">
        <v>226000.0</v>
      </c>
      <c r="D545" s="1">
        <v>23.0</v>
      </c>
      <c r="E545" s="1">
        <v>290.0</v>
      </c>
    </row>
    <row r="546">
      <c r="A546" s="2">
        <v>46080.0</v>
      </c>
      <c r="B546" s="1">
        <v>111.0</v>
      </c>
      <c r="C546" s="1">
        <v>321800.0</v>
      </c>
      <c r="D546" s="1">
        <v>40.0</v>
      </c>
      <c r="E546" s="1">
        <v>290.0</v>
      </c>
    </row>
    <row r="547">
      <c r="A547" s="2">
        <v>46081.0</v>
      </c>
      <c r="B547" s="1">
        <v>112.0</v>
      </c>
      <c r="C547" s="1">
        <v>181100.0</v>
      </c>
      <c r="D547" s="1">
        <v>22.0</v>
      </c>
      <c r="E547" s="1">
        <v>290.0</v>
      </c>
    </row>
    <row r="548">
      <c r="A548" s="2">
        <v>46082.0</v>
      </c>
      <c r="B548" s="1">
        <v>115.0</v>
      </c>
      <c r="C548" s="1">
        <v>168100.0</v>
      </c>
      <c r="D548" s="1">
        <v>22.0</v>
      </c>
      <c r="E548" s="1">
        <v>290.0</v>
      </c>
    </row>
    <row r="549">
      <c r="A549" s="2">
        <v>46083.0</v>
      </c>
      <c r="B549" s="1">
        <v>107.0</v>
      </c>
      <c r="C549" s="1">
        <v>126100.0</v>
      </c>
      <c r="D549" s="1">
        <v>17.0</v>
      </c>
      <c r="E549" s="1">
        <v>290.0</v>
      </c>
    </row>
    <row r="550">
      <c r="A550" s="2">
        <v>46084.0</v>
      </c>
      <c r="B550" s="1">
        <v>104.0</v>
      </c>
      <c r="C550" s="1">
        <v>167500.0</v>
      </c>
      <c r="D550" s="1">
        <v>18.0</v>
      </c>
      <c r="E550" s="1">
        <v>290.0</v>
      </c>
    </row>
    <row r="551">
      <c r="A551" s="2">
        <v>46085.0</v>
      </c>
      <c r="B551" s="1">
        <v>117.0</v>
      </c>
      <c r="C551" s="1">
        <v>235000.0</v>
      </c>
      <c r="D551" s="1">
        <v>34.0</v>
      </c>
      <c r="E551" s="1">
        <v>290.0</v>
      </c>
    </row>
    <row r="552">
      <c r="A552" s="2">
        <v>46086.0</v>
      </c>
      <c r="B552" s="1">
        <v>120.0</v>
      </c>
      <c r="C552" s="1">
        <v>167800.0</v>
      </c>
      <c r="D552" s="1">
        <v>21.0</v>
      </c>
      <c r="E552" s="1">
        <v>290.0</v>
      </c>
    </row>
    <row r="553">
      <c r="A553" s="2">
        <v>46087.0</v>
      </c>
      <c r="B553" s="1">
        <v>155.0</v>
      </c>
      <c r="C553" s="1">
        <v>376200.0</v>
      </c>
      <c r="D553" s="1">
        <v>51.0</v>
      </c>
      <c r="E553" s="1">
        <v>290.0</v>
      </c>
    </row>
    <row r="554">
      <c r="A554" s="2">
        <v>46088.0</v>
      </c>
      <c r="B554" s="1">
        <v>161.0</v>
      </c>
      <c r="C554" s="1">
        <v>211800.0</v>
      </c>
      <c r="D554" s="1">
        <v>30.0</v>
      </c>
      <c r="E554" s="1">
        <v>290.0</v>
      </c>
    </row>
    <row r="555">
      <c r="A555" s="2">
        <v>46089.0</v>
      </c>
      <c r="B555" s="1">
        <v>159.0</v>
      </c>
      <c r="C555" s="1">
        <v>128800.0</v>
      </c>
      <c r="D555" s="1">
        <v>20.0</v>
      </c>
      <c r="E555" s="1">
        <v>290.0</v>
      </c>
    </row>
    <row r="556">
      <c r="A556" s="2">
        <v>46090.0</v>
      </c>
      <c r="B556" s="1">
        <v>129.0</v>
      </c>
      <c r="C556" s="1">
        <v>184000.0</v>
      </c>
      <c r="D556" s="1">
        <v>19.0</v>
      </c>
      <c r="E556" s="1">
        <v>290.0</v>
      </c>
    </row>
    <row r="557">
      <c r="A557" s="2">
        <v>46091.0</v>
      </c>
      <c r="B557" s="1">
        <v>116.0</v>
      </c>
      <c r="C557" s="1">
        <v>166400.0</v>
      </c>
      <c r="D557" s="1">
        <v>17.0</v>
      </c>
      <c r="E557" s="1">
        <v>290.0</v>
      </c>
    </row>
    <row r="558">
      <c r="A558" s="2">
        <v>46092.0</v>
      </c>
      <c r="B558" s="1">
        <v>123.0</v>
      </c>
      <c r="C558" s="1">
        <v>261300.0</v>
      </c>
      <c r="D558" s="1">
        <v>30.0</v>
      </c>
      <c r="E558" s="1">
        <v>290.0</v>
      </c>
    </row>
    <row r="559">
      <c r="A559" s="2">
        <v>46093.0</v>
      </c>
      <c r="B559" s="1">
        <v>155.0</v>
      </c>
      <c r="C559" s="1">
        <v>374500.0</v>
      </c>
      <c r="D559" s="1">
        <v>44.0</v>
      </c>
      <c r="E559" s="1">
        <v>290.0</v>
      </c>
    </row>
    <row r="560">
      <c r="A560" s="2">
        <v>46094.0</v>
      </c>
      <c r="B560" s="1">
        <v>160.0</v>
      </c>
      <c r="C560" s="1">
        <v>259700.0</v>
      </c>
      <c r="D560" s="1">
        <v>32.0</v>
      </c>
      <c r="E560" s="1">
        <v>290.0</v>
      </c>
    </row>
    <row r="561">
      <c r="A561" s="2">
        <v>46095.0</v>
      </c>
      <c r="B561" s="1">
        <v>175.0</v>
      </c>
      <c r="C561" s="1">
        <v>238900.0</v>
      </c>
      <c r="D561" s="1">
        <v>34.0</v>
      </c>
      <c r="E561" s="1">
        <v>290.0</v>
      </c>
    </row>
    <row r="562">
      <c r="A562" s="2">
        <v>46096.0</v>
      </c>
      <c r="B562" s="1">
        <v>155.0</v>
      </c>
      <c r="C562" s="1">
        <v>81500.0</v>
      </c>
      <c r="D562" s="1">
        <v>10.0</v>
      </c>
      <c r="E562" s="1">
        <v>290.0</v>
      </c>
    </row>
    <row r="563">
      <c r="A563" s="2">
        <v>46097.0</v>
      </c>
      <c r="B563" s="1">
        <v>125.0</v>
      </c>
      <c r="C563" s="1">
        <v>104500.0</v>
      </c>
      <c r="D563" s="1">
        <v>11.0</v>
      </c>
      <c r="E563" s="1">
        <v>290.0</v>
      </c>
    </row>
    <row r="564">
      <c r="A564" s="2">
        <v>46098.0</v>
      </c>
      <c r="B564" s="1">
        <v>102.0</v>
      </c>
      <c r="C564" s="1">
        <v>202500.0</v>
      </c>
      <c r="D564" s="1">
        <v>24.0</v>
      </c>
      <c r="E564" s="1">
        <v>290.0</v>
      </c>
    </row>
    <row r="565">
      <c r="A565" s="2">
        <v>46099.0</v>
      </c>
      <c r="B565" s="1">
        <v>107.0</v>
      </c>
      <c r="C565" s="1">
        <v>208500.0</v>
      </c>
      <c r="D565" s="1">
        <v>26.0</v>
      </c>
      <c r="E565" s="1">
        <v>290.0</v>
      </c>
    </row>
    <row r="566">
      <c r="A566" s="2">
        <v>46100.0</v>
      </c>
      <c r="B566" s="1">
        <v>121.0</v>
      </c>
      <c r="C566" s="1">
        <v>304300.0</v>
      </c>
      <c r="D566" s="1">
        <v>32.0</v>
      </c>
      <c r="E566" s="1">
        <v>290.0</v>
      </c>
    </row>
    <row r="567">
      <c r="A567" s="2">
        <v>46101.0</v>
      </c>
      <c r="B567" s="1">
        <v>154.0</v>
      </c>
      <c r="C567" s="1">
        <v>335150.0</v>
      </c>
      <c r="D567" s="1">
        <v>74.0</v>
      </c>
      <c r="E567" s="1">
        <v>290.0</v>
      </c>
    </row>
    <row r="568">
      <c r="A568" s="2"/>
      <c r="C568" s="1">
        <v>128900.0</v>
      </c>
    </row>
    <row r="569">
      <c r="A569" s="2"/>
      <c r="C569" s="1">
        <v>159400.0</v>
      </c>
    </row>
    <row r="570">
      <c r="A570" s="2"/>
      <c r="C570" s="1">
        <v>115500.0</v>
      </c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3" t="s">
        <v>5</v>
      </c>
      <c r="B1" s="3" t="s">
        <v>6</v>
      </c>
      <c r="C1" s="4" t="s">
        <v>7</v>
      </c>
      <c r="D1" s="3" t="s">
        <v>8</v>
      </c>
      <c r="E1" s="3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2">
      <c r="A2" s="6" t="s">
        <v>15</v>
      </c>
      <c r="B2" s="7">
        <v>150.0</v>
      </c>
      <c r="C2" s="8">
        <v>19.0</v>
      </c>
      <c r="D2" s="7">
        <v>2175600.0</v>
      </c>
      <c r="E2" s="7">
        <v>28000.0</v>
      </c>
      <c r="F2" s="1">
        <v>3000.0</v>
      </c>
      <c r="G2" s="1">
        <v>13000.0</v>
      </c>
      <c r="H2" s="1">
        <v>0.0</v>
      </c>
      <c r="I2" s="1">
        <v>169.0</v>
      </c>
      <c r="J2" s="1">
        <v>2219600.0</v>
      </c>
    </row>
    <row r="3">
      <c r="A3" s="6">
        <v>2026.0</v>
      </c>
      <c r="B3" s="7">
        <v>272.0</v>
      </c>
      <c r="C3" s="8">
        <v>35.0</v>
      </c>
      <c r="D3" s="7">
        <v>3346200.0</v>
      </c>
      <c r="E3" s="7">
        <v>48000.0</v>
      </c>
      <c r="F3" s="1">
        <v>15000.0</v>
      </c>
      <c r="G3" s="1">
        <v>12000.0</v>
      </c>
      <c r="H3" s="1">
        <v>0.0</v>
      </c>
      <c r="I3" s="1">
        <v>309.0</v>
      </c>
      <c r="J3" s="1">
        <v>3421200.0</v>
      </c>
    </row>
    <row r="4">
      <c r="A4" s="6">
        <v>2024.0</v>
      </c>
      <c r="B4" s="7">
        <v>861.0</v>
      </c>
      <c r="C4" s="8">
        <v>126.0</v>
      </c>
      <c r="D4" s="7">
        <v>1.030795E7</v>
      </c>
      <c r="E4" s="7">
        <v>460000.0</v>
      </c>
      <c r="F4" s="1">
        <v>69000.0</v>
      </c>
      <c r="G4" s="1">
        <v>12000.0</v>
      </c>
      <c r="H4" s="1">
        <v>1900.0</v>
      </c>
      <c r="I4" s="1">
        <v>991.0</v>
      </c>
      <c r="J4" s="1">
        <v>1.085085E7</v>
      </c>
    </row>
    <row r="5">
      <c r="A5" s="6">
        <v>2023.0</v>
      </c>
      <c r="B5" s="7">
        <v>917.0</v>
      </c>
      <c r="C5" s="8">
        <v>81.0</v>
      </c>
      <c r="D5" s="7">
        <v>1.00141E7</v>
      </c>
      <c r="E5" s="7">
        <v>442000.0</v>
      </c>
      <c r="F5" s="1">
        <v>75000.0</v>
      </c>
      <c r="G5" s="1">
        <v>22000.0</v>
      </c>
      <c r="H5" s="1">
        <v>0.0</v>
      </c>
      <c r="I5" s="1">
        <v>1004.0</v>
      </c>
      <c r="J5" s="1">
        <v>1.05531E7</v>
      </c>
    </row>
    <row r="6">
      <c r="A6" s="6">
        <v>2022.0</v>
      </c>
      <c r="B6" s="7">
        <v>884.0</v>
      </c>
      <c r="C6" s="8">
        <v>66.0</v>
      </c>
      <c r="D6" s="7">
        <v>9430000.0</v>
      </c>
      <c r="E6" s="7">
        <v>528000.0</v>
      </c>
      <c r="F6" s="1">
        <v>48000.0</v>
      </c>
      <c r="G6" s="1">
        <v>0.0</v>
      </c>
      <c r="H6" s="1">
        <v>0.0</v>
      </c>
      <c r="I6" s="1">
        <v>952.0</v>
      </c>
      <c r="J6" s="1">
        <v>1.0006E7</v>
      </c>
    </row>
    <row r="7">
      <c r="A7" s="6">
        <v>2021.0</v>
      </c>
      <c r="B7" s="7">
        <v>631.0</v>
      </c>
      <c r="C7" s="8">
        <v>41.0</v>
      </c>
      <c r="D7" s="7">
        <v>7515700.0</v>
      </c>
      <c r="E7" s="7">
        <v>306000.0</v>
      </c>
      <c r="F7" s="1">
        <v>48000.0</v>
      </c>
      <c r="G7" s="1">
        <v>0.0</v>
      </c>
      <c r="H7" s="1">
        <v>0.0</v>
      </c>
      <c r="I7" s="1">
        <v>676.0</v>
      </c>
      <c r="J7" s="1">
        <v>7869700.0</v>
      </c>
    </row>
    <row r="8">
      <c r="A8" s="6">
        <v>2020.0</v>
      </c>
      <c r="B8" s="7">
        <v>1621.0</v>
      </c>
      <c r="C8" s="8">
        <v>121.0</v>
      </c>
      <c r="D8" s="7">
        <v>1.7879E7</v>
      </c>
      <c r="E8" s="7">
        <v>673000.0</v>
      </c>
      <c r="F8" s="1">
        <v>132000.0</v>
      </c>
      <c r="G8" s="1">
        <v>45000.0</v>
      </c>
      <c r="H8" s="1">
        <v>0.0</v>
      </c>
      <c r="I8" s="1">
        <v>1744.0</v>
      </c>
      <c r="J8" s="1">
        <v>1.8729E7</v>
      </c>
    </row>
    <row r="9">
      <c r="A9" s="6">
        <v>2018.0</v>
      </c>
      <c r="B9" s="7">
        <v>1426.0</v>
      </c>
      <c r="C9" s="8">
        <v>101.0</v>
      </c>
      <c r="D9" s="7">
        <v>1.53363E7</v>
      </c>
      <c r="E9" s="7">
        <v>489000.0</v>
      </c>
      <c r="F9" s="1">
        <v>192000.0</v>
      </c>
      <c r="G9" s="1">
        <v>30000.0</v>
      </c>
      <c r="H9" s="1">
        <v>15550.0</v>
      </c>
      <c r="I9" s="1">
        <v>1537.0</v>
      </c>
      <c r="J9" s="1">
        <v>1.606285E7</v>
      </c>
    </row>
    <row r="10">
      <c r="A10" s="6">
        <v>2016.0</v>
      </c>
      <c r="B10" s="7">
        <v>1309.0</v>
      </c>
      <c r="C10" s="8">
        <v>87.0</v>
      </c>
      <c r="D10" s="7">
        <v>1.3914E7</v>
      </c>
      <c r="E10" s="7">
        <v>389000.0</v>
      </c>
      <c r="F10" s="1">
        <v>90000.0</v>
      </c>
      <c r="G10" s="1">
        <v>0.0</v>
      </c>
      <c r="H10" s="1">
        <v>0.0</v>
      </c>
      <c r="I10" s="1">
        <v>1397.0</v>
      </c>
      <c r="J10" s="1">
        <v>1.4393E7</v>
      </c>
    </row>
    <row r="11">
      <c r="A11" s="6">
        <v>2014.0</v>
      </c>
      <c r="B11" s="7">
        <v>1107.0</v>
      </c>
      <c r="C11" s="8">
        <v>54.0</v>
      </c>
      <c r="D11" s="7">
        <v>1.15854E7</v>
      </c>
      <c r="E11" s="7">
        <v>417000.0</v>
      </c>
      <c r="F11" s="1">
        <v>63000.0</v>
      </c>
      <c r="G11" s="1">
        <v>22000.0</v>
      </c>
      <c r="H11" s="1">
        <v>77500.0</v>
      </c>
      <c r="I11" s="1">
        <v>1164.0</v>
      </c>
      <c r="J11" s="1">
        <v>1.21649E7</v>
      </c>
    </row>
    <row r="12">
      <c r="A12" s="6">
        <v>2011.0</v>
      </c>
      <c r="B12" s="7">
        <v>904.0</v>
      </c>
      <c r="C12" s="8">
        <v>67.0</v>
      </c>
      <c r="D12" s="7">
        <v>9865900.0</v>
      </c>
      <c r="E12" s="7">
        <v>237000.0</v>
      </c>
      <c r="F12" s="1">
        <v>57000.0</v>
      </c>
      <c r="G12" s="1">
        <v>34000.0</v>
      </c>
      <c r="H12" s="1">
        <v>15600.0</v>
      </c>
      <c r="I12" s="1">
        <v>971.0</v>
      </c>
      <c r="J12" s="1">
        <v>1.02095E7</v>
      </c>
    </row>
    <row r="13">
      <c r="A13" s="6">
        <v>2007.0</v>
      </c>
      <c r="B13" s="7">
        <v>757.0</v>
      </c>
      <c r="C13" s="8">
        <v>34.0</v>
      </c>
      <c r="D13" s="7">
        <v>7924600.0</v>
      </c>
      <c r="E13" s="7">
        <v>230000.0</v>
      </c>
      <c r="F13" s="1">
        <v>27000.0</v>
      </c>
      <c r="G13" s="1">
        <v>25000.0</v>
      </c>
      <c r="H13" s="1">
        <v>16000.0</v>
      </c>
      <c r="I13" s="1">
        <v>793.0</v>
      </c>
      <c r="J13" s="1">
        <v>8222600.0</v>
      </c>
    </row>
    <row r="14">
      <c r="A14" s="6">
        <v>2005.0</v>
      </c>
      <c r="B14" s="7">
        <v>666.0</v>
      </c>
      <c r="C14" s="8">
        <v>14.0</v>
      </c>
      <c r="D14" s="7">
        <v>6686800.0</v>
      </c>
      <c r="E14" s="7">
        <v>169000.0</v>
      </c>
      <c r="F14" s="1">
        <v>39000.0</v>
      </c>
      <c r="G14" s="1">
        <v>75000.0</v>
      </c>
      <c r="H14" s="1">
        <v>11700.0</v>
      </c>
      <c r="I14" s="1">
        <v>680.0</v>
      </c>
      <c r="J14" s="1">
        <v>6981500.0</v>
      </c>
    </row>
    <row r="15">
      <c r="A15" s="6">
        <v>2003.0</v>
      </c>
      <c r="B15" s="7">
        <v>378.0</v>
      </c>
      <c r="C15" s="8">
        <v>8.0</v>
      </c>
      <c r="D15" s="7">
        <v>3685500.0</v>
      </c>
      <c r="E15" s="7">
        <v>36000.0</v>
      </c>
      <c r="F15" s="1">
        <v>18000.0</v>
      </c>
      <c r="G15" s="1">
        <v>9000.0</v>
      </c>
      <c r="H15" s="1">
        <v>0.0</v>
      </c>
      <c r="I15" s="1">
        <v>388.0</v>
      </c>
      <c r="J15" s="1">
        <v>3748500.0</v>
      </c>
    </row>
    <row r="16">
      <c r="A16" s="6">
        <v>2002.0</v>
      </c>
      <c r="B16" s="7">
        <v>219.0</v>
      </c>
      <c r="C16" s="8">
        <v>4.0</v>
      </c>
      <c r="D16" s="7">
        <v>2094100.0</v>
      </c>
      <c r="E16" s="7">
        <v>42000.0</v>
      </c>
      <c r="F16" s="1">
        <v>27000.0</v>
      </c>
      <c r="G16" s="1">
        <v>9000.0</v>
      </c>
      <c r="H16" s="1">
        <v>0.0</v>
      </c>
      <c r="I16" s="1">
        <v>223.0</v>
      </c>
      <c r="J16" s="1">
        <v>2172100.0</v>
      </c>
    </row>
    <row r="17">
      <c r="A17" s="6">
        <v>2001.0</v>
      </c>
      <c r="B17" s="7">
        <v>168.0</v>
      </c>
      <c r="C17" s="8">
        <v>4.0</v>
      </c>
      <c r="D17" s="7">
        <v>1750200.0</v>
      </c>
      <c r="E17" s="7">
        <v>36000.0</v>
      </c>
      <c r="F17" s="1">
        <v>9000.0</v>
      </c>
      <c r="G17" s="1">
        <v>0.0</v>
      </c>
      <c r="H17" s="1">
        <v>0.0</v>
      </c>
      <c r="I17" s="1">
        <v>172.0</v>
      </c>
      <c r="J17" s="1">
        <v>1795200.0</v>
      </c>
    </row>
    <row r="18">
      <c r="A18" s="6">
        <v>1999.0</v>
      </c>
      <c r="B18" s="7">
        <v>70.0</v>
      </c>
      <c r="C18" s="8">
        <v>3.0</v>
      </c>
      <c r="D18" s="7">
        <v>790400.0</v>
      </c>
      <c r="E18" s="7">
        <v>0.0</v>
      </c>
      <c r="F18" s="1">
        <v>3000.0</v>
      </c>
      <c r="G18" s="1">
        <v>0.0</v>
      </c>
      <c r="H18" s="1">
        <v>0.0</v>
      </c>
      <c r="I18" s="1">
        <v>73.0</v>
      </c>
      <c r="J18" s="1">
        <v>793400.0</v>
      </c>
    </row>
    <row r="19">
      <c r="A19" s="6">
        <v>1996.0</v>
      </c>
      <c r="B19" s="7">
        <v>24.0</v>
      </c>
      <c r="C19" s="8">
        <v>0.0</v>
      </c>
      <c r="D19" s="7">
        <v>237400.0</v>
      </c>
      <c r="E19" s="7">
        <v>4000.0</v>
      </c>
      <c r="F19" s="1">
        <v>0.0</v>
      </c>
      <c r="G19" s="1">
        <v>0.0</v>
      </c>
      <c r="H19" s="1">
        <v>0.0</v>
      </c>
      <c r="I19" s="1">
        <v>24.0</v>
      </c>
      <c r="J19" s="1">
        <v>241400.0</v>
      </c>
    </row>
    <row r="20">
      <c r="A20" s="6">
        <v>1994.0</v>
      </c>
      <c r="B20" s="7">
        <v>39.0</v>
      </c>
      <c r="C20" s="8">
        <v>1.0</v>
      </c>
      <c r="D20" s="7">
        <v>440600.0</v>
      </c>
      <c r="E20" s="7">
        <v>6000.0</v>
      </c>
      <c r="F20" s="1">
        <v>0.0</v>
      </c>
      <c r="G20" s="1">
        <v>0.0</v>
      </c>
      <c r="H20" s="1">
        <v>0.0</v>
      </c>
      <c r="I20" s="1">
        <v>40.0</v>
      </c>
      <c r="J20" s="1">
        <v>446600.0</v>
      </c>
    </row>
    <row r="21">
      <c r="A21" s="6">
        <v>1992.0</v>
      </c>
      <c r="B21" s="7">
        <v>21.0</v>
      </c>
      <c r="C21" s="8">
        <v>1.0</v>
      </c>
      <c r="D21" s="7">
        <v>207800.0</v>
      </c>
      <c r="E21" s="7">
        <v>0.0</v>
      </c>
      <c r="F21" s="1">
        <v>6000.0</v>
      </c>
      <c r="G21" s="1">
        <v>0.0</v>
      </c>
      <c r="H21" s="1">
        <v>0.0</v>
      </c>
      <c r="I21" s="1">
        <v>22.0</v>
      </c>
      <c r="J21" s="1">
        <v>213800.0</v>
      </c>
    </row>
    <row r="22">
      <c r="A22" s="6" t="s">
        <v>16</v>
      </c>
      <c r="B22" s="7">
        <v>241.0</v>
      </c>
      <c r="C22" s="8">
        <v>13.0</v>
      </c>
      <c r="D22" s="7">
        <v>2897900.0</v>
      </c>
      <c r="E22" s="7">
        <v>47000.0</v>
      </c>
      <c r="F22" s="1">
        <v>6000.0</v>
      </c>
      <c r="G22" s="1">
        <v>0.0</v>
      </c>
      <c r="H22" s="1">
        <v>20000.0</v>
      </c>
      <c r="I22" s="1">
        <v>254.0</v>
      </c>
      <c r="J22" s="1">
        <v>2970900.0</v>
      </c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</row>
    <row r="2">
      <c r="A2" s="10">
        <v>45507.0</v>
      </c>
      <c r="B2" s="7">
        <v>8600.0</v>
      </c>
      <c r="C2" s="7">
        <v>8600.0</v>
      </c>
      <c r="D2" s="7">
        <v>8600.0</v>
      </c>
      <c r="E2" s="7">
        <v>1.0</v>
      </c>
    </row>
    <row r="3">
      <c r="A3" s="10">
        <v>45511.0</v>
      </c>
      <c r="B3" s="7">
        <v>5700.0</v>
      </c>
      <c r="C3" s="7">
        <v>5700.0</v>
      </c>
      <c r="D3" s="7">
        <v>5700.0</v>
      </c>
      <c r="E3" s="7">
        <v>1.0</v>
      </c>
    </row>
    <row r="4">
      <c r="A4" s="10">
        <v>45512.0</v>
      </c>
      <c r="B4" s="7">
        <v>2400.0</v>
      </c>
      <c r="C4" s="7">
        <v>1200.0</v>
      </c>
      <c r="D4" s="7">
        <v>5700.0</v>
      </c>
      <c r="E4" s="7">
        <v>3.0</v>
      </c>
    </row>
    <row r="5">
      <c r="A5" s="10">
        <v>45513.0</v>
      </c>
      <c r="B5" s="7">
        <v>5700.0</v>
      </c>
      <c r="C5" s="7">
        <v>1200.0</v>
      </c>
      <c r="D5" s="7">
        <v>5700.0</v>
      </c>
      <c r="E5" s="7">
        <v>3.0</v>
      </c>
    </row>
    <row r="6">
      <c r="A6" s="10">
        <v>45515.0</v>
      </c>
      <c r="B6" s="7">
        <v>4050.0</v>
      </c>
      <c r="C6" s="7">
        <v>1200.0</v>
      </c>
      <c r="D6" s="7">
        <v>5700.0</v>
      </c>
      <c r="E6" s="7">
        <v>4.0</v>
      </c>
    </row>
    <row r="7">
      <c r="A7" s="10">
        <v>45516.0</v>
      </c>
      <c r="B7" s="7">
        <v>2400.0</v>
      </c>
      <c r="C7" s="7">
        <v>2400.0</v>
      </c>
      <c r="D7" s="7">
        <v>2400.0</v>
      </c>
      <c r="E7" s="7">
        <v>1.0</v>
      </c>
    </row>
    <row r="8">
      <c r="A8" s="10">
        <v>45517.0</v>
      </c>
      <c r="B8" s="7">
        <v>3750.0</v>
      </c>
      <c r="C8" s="7">
        <v>3300.0</v>
      </c>
      <c r="D8" s="7">
        <v>4200.0</v>
      </c>
      <c r="E8" s="7">
        <v>2.0</v>
      </c>
    </row>
    <row r="9">
      <c r="A9" s="10">
        <v>45518.0</v>
      </c>
      <c r="B9" s="7">
        <v>2400.0</v>
      </c>
      <c r="C9" s="7">
        <v>1200.0</v>
      </c>
      <c r="D9" s="7">
        <v>5700.0</v>
      </c>
      <c r="E9" s="7">
        <v>5.0</v>
      </c>
    </row>
    <row r="10">
      <c r="A10" s="10">
        <v>45519.0</v>
      </c>
      <c r="B10" s="7">
        <v>5700.0</v>
      </c>
      <c r="C10" s="7">
        <v>1200.0</v>
      </c>
      <c r="D10" s="7">
        <v>13900.0</v>
      </c>
      <c r="E10" s="7">
        <v>11.0</v>
      </c>
    </row>
    <row r="11">
      <c r="A11" s="10">
        <v>45520.0</v>
      </c>
      <c r="B11" s="7">
        <v>4500.0</v>
      </c>
      <c r="C11" s="7">
        <v>2400.0</v>
      </c>
      <c r="D11" s="7">
        <v>7200.0</v>
      </c>
      <c r="E11" s="7">
        <v>6.0</v>
      </c>
    </row>
    <row r="12">
      <c r="A12" s="10">
        <v>45521.0</v>
      </c>
      <c r="B12" s="7">
        <v>5700.0</v>
      </c>
      <c r="C12" s="7">
        <v>4200.0</v>
      </c>
      <c r="D12" s="7">
        <v>5700.0</v>
      </c>
      <c r="E12" s="7">
        <v>3.0</v>
      </c>
    </row>
    <row r="13">
      <c r="A13" s="10">
        <v>45522.0</v>
      </c>
      <c r="B13" s="7">
        <v>7200.0</v>
      </c>
      <c r="C13" s="7">
        <v>3300.0</v>
      </c>
      <c r="D13" s="7">
        <v>7200.0</v>
      </c>
      <c r="E13" s="7">
        <v>5.0</v>
      </c>
    </row>
    <row r="14">
      <c r="A14" s="10">
        <v>45523.0</v>
      </c>
      <c r="B14" s="7">
        <v>5700.0</v>
      </c>
      <c r="C14" s="7">
        <v>1200.0</v>
      </c>
      <c r="D14" s="7">
        <v>12000.0</v>
      </c>
      <c r="E14" s="7">
        <v>11.0</v>
      </c>
    </row>
    <row r="15">
      <c r="A15" s="10">
        <v>45524.0</v>
      </c>
      <c r="B15" s="7">
        <v>4200.0</v>
      </c>
      <c r="C15" s="7">
        <v>4200.0</v>
      </c>
      <c r="D15" s="7">
        <v>8700.0</v>
      </c>
      <c r="E15" s="7">
        <v>5.0</v>
      </c>
    </row>
    <row r="16">
      <c r="A16" s="10">
        <v>45525.0</v>
      </c>
      <c r="B16" s="7">
        <v>5700.0</v>
      </c>
      <c r="C16" s="7">
        <v>1200.0</v>
      </c>
      <c r="D16" s="7">
        <v>10500.0</v>
      </c>
      <c r="E16" s="7">
        <v>8.0</v>
      </c>
    </row>
    <row r="17">
      <c r="A17" s="10">
        <v>45526.0</v>
      </c>
      <c r="B17" s="7">
        <v>8200.0</v>
      </c>
      <c r="C17" s="7">
        <v>2400.0</v>
      </c>
      <c r="D17" s="7">
        <v>10700.0</v>
      </c>
      <c r="E17" s="7">
        <v>7.0</v>
      </c>
    </row>
    <row r="18">
      <c r="A18" s="10">
        <v>45527.0</v>
      </c>
      <c r="B18" s="7">
        <v>4500.0</v>
      </c>
      <c r="C18" s="7">
        <v>2400.0</v>
      </c>
      <c r="D18" s="7">
        <v>10500.0</v>
      </c>
      <c r="E18" s="7">
        <v>6.0</v>
      </c>
    </row>
    <row r="19">
      <c r="A19" s="10">
        <v>45528.0</v>
      </c>
      <c r="B19" s="7">
        <v>5700.0</v>
      </c>
      <c r="C19" s="7">
        <v>1200.0</v>
      </c>
      <c r="D19" s="7">
        <v>10700.0</v>
      </c>
      <c r="E19" s="7">
        <v>11.0</v>
      </c>
    </row>
    <row r="20">
      <c r="A20" s="10">
        <v>45529.0</v>
      </c>
      <c r="B20" s="7">
        <v>5700.0</v>
      </c>
      <c r="C20" s="7">
        <v>1200.0</v>
      </c>
      <c r="D20" s="7">
        <v>12700.0</v>
      </c>
      <c r="E20" s="7">
        <v>13.0</v>
      </c>
    </row>
    <row r="21">
      <c r="A21" s="10">
        <v>45530.0</v>
      </c>
      <c r="B21" s="7">
        <v>5700.0</v>
      </c>
      <c r="C21" s="7">
        <v>1200.0</v>
      </c>
      <c r="D21" s="7">
        <v>15900.0</v>
      </c>
      <c r="E21" s="7">
        <v>20.0</v>
      </c>
    </row>
    <row r="22">
      <c r="A22" s="10">
        <v>45531.0</v>
      </c>
      <c r="B22" s="7">
        <v>5700.0</v>
      </c>
      <c r="C22" s="7">
        <v>1200.0</v>
      </c>
      <c r="D22" s="7">
        <v>17400.0</v>
      </c>
      <c r="E22" s="7">
        <v>20.0</v>
      </c>
    </row>
    <row r="23">
      <c r="A23" s="10">
        <v>45532.0</v>
      </c>
      <c r="B23" s="7">
        <v>5700.0</v>
      </c>
      <c r="C23" s="7">
        <v>1200.0</v>
      </c>
      <c r="D23" s="7">
        <v>8700.0</v>
      </c>
      <c r="E23" s="7">
        <v>27.0</v>
      </c>
    </row>
    <row r="24">
      <c r="A24" s="10">
        <v>45533.0</v>
      </c>
      <c r="B24" s="7">
        <v>3300.0</v>
      </c>
      <c r="C24" s="7">
        <v>1200.0</v>
      </c>
      <c r="D24" s="7">
        <v>14100.0</v>
      </c>
      <c r="E24" s="7">
        <v>19.0</v>
      </c>
    </row>
    <row r="25">
      <c r="A25" s="10">
        <v>45534.0</v>
      </c>
      <c r="B25" s="7">
        <v>5700.0</v>
      </c>
      <c r="C25" s="7">
        <v>1200.0</v>
      </c>
      <c r="D25" s="7">
        <v>10700.0</v>
      </c>
      <c r="E25" s="7">
        <v>18.0</v>
      </c>
    </row>
    <row r="26">
      <c r="A26" s="10">
        <v>45535.0</v>
      </c>
      <c r="B26" s="7">
        <v>5700.0</v>
      </c>
      <c r="C26" s="7">
        <v>2400.0</v>
      </c>
      <c r="D26" s="7">
        <v>9400.0</v>
      </c>
      <c r="E26" s="7">
        <v>17.0</v>
      </c>
    </row>
    <row r="27">
      <c r="A27" s="10">
        <v>45536.0</v>
      </c>
      <c r="B27" s="7">
        <v>5700.0</v>
      </c>
      <c r="C27" s="7">
        <v>1200.0</v>
      </c>
      <c r="D27" s="7">
        <v>13700.0</v>
      </c>
      <c r="E27" s="7">
        <v>32.0</v>
      </c>
    </row>
    <row r="28">
      <c r="A28" s="10">
        <v>45537.0</v>
      </c>
      <c r="B28" s="7">
        <v>5700.0</v>
      </c>
      <c r="C28" s="7">
        <v>1200.0</v>
      </c>
      <c r="D28" s="7">
        <v>12700.0</v>
      </c>
      <c r="E28" s="7">
        <v>34.0</v>
      </c>
    </row>
    <row r="29">
      <c r="A29" s="10">
        <v>45538.0</v>
      </c>
      <c r="B29" s="7">
        <v>5700.0</v>
      </c>
      <c r="C29" s="7">
        <v>1200.0</v>
      </c>
      <c r="D29" s="7">
        <v>14400.0</v>
      </c>
      <c r="E29" s="7">
        <v>25.0</v>
      </c>
    </row>
    <row r="30">
      <c r="A30" s="10">
        <v>45539.0</v>
      </c>
      <c r="B30" s="7">
        <v>9700.0</v>
      </c>
      <c r="C30" s="7">
        <v>8600.0</v>
      </c>
      <c r="D30" s="7">
        <v>17100.0</v>
      </c>
      <c r="E30" s="7">
        <v>6.0</v>
      </c>
    </row>
    <row r="31">
      <c r="A31" s="10">
        <v>45540.0</v>
      </c>
      <c r="B31" s="7">
        <v>11150.0</v>
      </c>
      <c r="C31" s="7">
        <v>5700.0</v>
      </c>
      <c r="D31" s="7">
        <v>12600.0</v>
      </c>
      <c r="E31" s="7">
        <v>8.0</v>
      </c>
    </row>
    <row r="32">
      <c r="A32" s="10">
        <v>45541.0</v>
      </c>
      <c r="B32" s="7">
        <v>10500.0</v>
      </c>
      <c r="C32" s="7">
        <v>5100.0</v>
      </c>
      <c r="D32" s="7">
        <v>16200.0</v>
      </c>
      <c r="E32" s="7">
        <v>18.0</v>
      </c>
    </row>
    <row r="33">
      <c r="A33" s="10">
        <v>45542.0</v>
      </c>
      <c r="B33" s="7">
        <v>10500.0</v>
      </c>
      <c r="C33" s="7">
        <v>7100.0</v>
      </c>
      <c r="D33" s="7">
        <v>13400.0</v>
      </c>
      <c r="E33" s="7">
        <v>9.0</v>
      </c>
    </row>
    <row r="34">
      <c r="A34" s="10">
        <v>45543.0</v>
      </c>
      <c r="B34" s="7">
        <v>10500.0</v>
      </c>
      <c r="C34" s="7">
        <v>7100.0</v>
      </c>
      <c r="D34" s="7">
        <v>16200.0</v>
      </c>
      <c r="E34" s="7">
        <v>19.0</v>
      </c>
    </row>
    <row r="35">
      <c r="A35" s="10">
        <v>45544.0</v>
      </c>
      <c r="B35" s="7">
        <v>9400.0</v>
      </c>
      <c r="C35" s="7">
        <v>6200.0</v>
      </c>
      <c r="D35" s="7">
        <v>11600.0</v>
      </c>
      <c r="E35" s="7">
        <v>33.0</v>
      </c>
    </row>
    <row r="36">
      <c r="A36" s="10">
        <v>45545.0</v>
      </c>
      <c r="B36" s="7">
        <v>10500.0</v>
      </c>
      <c r="C36" s="7">
        <v>5100.0</v>
      </c>
      <c r="D36" s="7">
        <v>12700.0</v>
      </c>
      <c r="E36" s="7">
        <v>35.0</v>
      </c>
    </row>
    <row r="37">
      <c r="A37" s="10">
        <v>45546.0</v>
      </c>
      <c r="B37" s="7">
        <v>8700.0</v>
      </c>
      <c r="C37" s="7">
        <v>5100.0</v>
      </c>
      <c r="D37" s="7">
        <v>16200.0</v>
      </c>
      <c r="E37" s="7">
        <v>29.0</v>
      </c>
    </row>
    <row r="38">
      <c r="A38" s="10">
        <v>45547.0</v>
      </c>
      <c r="B38" s="7">
        <v>10500.0</v>
      </c>
      <c r="C38" s="7">
        <v>7100.0</v>
      </c>
      <c r="D38" s="7">
        <v>15500.0</v>
      </c>
      <c r="E38" s="7">
        <v>21.0</v>
      </c>
    </row>
    <row r="39">
      <c r="A39" s="10">
        <v>45548.0</v>
      </c>
      <c r="B39" s="7">
        <v>10500.0</v>
      </c>
      <c r="C39" s="7">
        <v>6200.0</v>
      </c>
      <c r="D39" s="7">
        <v>12700.0</v>
      </c>
      <c r="E39" s="7">
        <v>22.0</v>
      </c>
    </row>
    <row r="40">
      <c r="A40" s="10">
        <v>45549.0</v>
      </c>
      <c r="B40" s="7">
        <v>10500.0</v>
      </c>
      <c r="C40" s="7">
        <v>5100.0</v>
      </c>
      <c r="D40" s="7">
        <v>11600.0</v>
      </c>
      <c r="E40" s="7">
        <v>13.0</v>
      </c>
    </row>
    <row r="41">
      <c r="A41" s="10">
        <v>45550.0</v>
      </c>
      <c r="B41" s="7">
        <v>10500.0</v>
      </c>
      <c r="C41" s="7">
        <v>5100.0</v>
      </c>
      <c r="D41" s="7">
        <v>20000.0</v>
      </c>
      <c r="E41" s="7">
        <v>24.0</v>
      </c>
    </row>
    <row r="42">
      <c r="A42" s="10">
        <v>45551.0</v>
      </c>
      <c r="B42" s="7">
        <v>8700.0</v>
      </c>
      <c r="C42" s="7">
        <v>6200.0</v>
      </c>
      <c r="D42" s="7">
        <v>15000.0</v>
      </c>
      <c r="E42" s="7">
        <v>22.0</v>
      </c>
    </row>
    <row r="43">
      <c r="A43" s="10">
        <v>45552.0</v>
      </c>
      <c r="B43" s="7">
        <v>10500.0</v>
      </c>
      <c r="C43" s="7">
        <v>5100.0</v>
      </c>
      <c r="D43" s="7">
        <v>14100.0</v>
      </c>
      <c r="E43" s="7">
        <v>32.0</v>
      </c>
    </row>
    <row r="44">
      <c r="A44" s="10">
        <v>45553.0</v>
      </c>
      <c r="B44" s="7">
        <v>10500.0</v>
      </c>
      <c r="C44" s="7">
        <v>5100.0</v>
      </c>
      <c r="D44" s="7">
        <v>13400.0</v>
      </c>
      <c r="E44" s="7">
        <v>23.0</v>
      </c>
    </row>
    <row r="45">
      <c r="A45" s="10">
        <v>45554.0</v>
      </c>
      <c r="B45" s="7">
        <v>8350.0</v>
      </c>
      <c r="C45" s="7">
        <v>5100.0</v>
      </c>
      <c r="D45" s="7">
        <v>14100.0</v>
      </c>
      <c r="E45" s="7">
        <v>26.0</v>
      </c>
    </row>
    <row r="46">
      <c r="A46" s="10">
        <v>45555.0</v>
      </c>
      <c r="B46" s="7">
        <v>10500.0</v>
      </c>
      <c r="C46" s="7">
        <v>6200.0</v>
      </c>
      <c r="D46" s="7">
        <v>18300.0</v>
      </c>
      <c r="E46" s="7">
        <v>25.0</v>
      </c>
    </row>
    <row r="47">
      <c r="A47" s="10">
        <v>45556.0</v>
      </c>
      <c r="B47" s="7">
        <v>9400.0</v>
      </c>
      <c r="C47" s="7">
        <v>5100.0</v>
      </c>
      <c r="D47" s="7">
        <v>12700.0</v>
      </c>
      <c r="E47" s="7">
        <v>17.0</v>
      </c>
    </row>
    <row r="48">
      <c r="A48" s="10">
        <v>45557.0</v>
      </c>
      <c r="B48" s="7">
        <v>8700.0</v>
      </c>
      <c r="C48" s="7">
        <v>5100.0</v>
      </c>
      <c r="D48" s="7">
        <v>13400.0</v>
      </c>
      <c r="E48" s="7">
        <v>29.0</v>
      </c>
    </row>
    <row r="49">
      <c r="A49" s="10">
        <v>45558.0</v>
      </c>
      <c r="B49" s="7">
        <v>10500.0</v>
      </c>
      <c r="C49" s="7">
        <v>7100.0</v>
      </c>
      <c r="D49" s="7">
        <v>16200.0</v>
      </c>
      <c r="E49" s="7">
        <v>18.0</v>
      </c>
    </row>
    <row r="50">
      <c r="A50" s="10">
        <v>45559.0</v>
      </c>
      <c r="B50" s="7">
        <v>8700.0</v>
      </c>
      <c r="C50" s="7">
        <v>5100.0</v>
      </c>
      <c r="D50" s="7">
        <v>15500.0</v>
      </c>
      <c r="E50" s="7">
        <v>28.0</v>
      </c>
    </row>
    <row r="51">
      <c r="A51" s="10">
        <v>45560.0</v>
      </c>
      <c r="B51" s="7">
        <v>10500.0</v>
      </c>
      <c r="C51" s="7">
        <v>6200.0</v>
      </c>
      <c r="D51" s="7">
        <v>12300.0</v>
      </c>
      <c r="E51" s="7">
        <v>25.0</v>
      </c>
    </row>
    <row r="52">
      <c r="A52" s="10">
        <v>45561.0</v>
      </c>
      <c r="B52" s="7">
        <v>8700.0</v>
      </c>
      <c r="C52" s="7">
        <v>6200.0</v>
      </c>
      <c r="D52" s="7">
        <v>12700.0</v>
      </c>
      <c r="E52" s="7">
        <v>17.0</v>
      </c>
    </row>
    <row r="53">
      <c r="A53" s="10">
        <v>45562.0</v>
      </c>
      <c r="B53" s="7">
        <v>10500.0</v>
      </c>
      <c r="C53" s="7">
        <v>7100.0</v>
      </c>
      <c r="D53" s="7">
        <v>12700.0</v>
      </c>
      <c r="E53" s="7">
        <v>13.0</v>
      </c>
    </row>
    <row r="54">
      <c r="A54" s="10">
        <v>45563.0</v>
      </c>
      <c r="B54" s="7">
        <v>9050.0</v>
      </c>
      <c r="C54" s="7">
        <v>7100.0</v>
      </c>
      <c r="D54" s="7">
        <v>11600.0</v>
      </c>
      <c r="E54" s="7">
        <v>18.0</v>
      </c>
    </row>
    <row r="55">
      <c r="A55" s="10">
        <v>45564.0</v>
      </c>
      <c r="B55" s="7">
        <v>9050.0</v>
      </c>
      <c r="C55" s="7">
        <v>6200.0</v>
      </c>
      <c r="D55" s="7">
        <v>18200.0</v>
      </c>
      <c r="E55" s="7">
        <v>22.0</v>
      </c>
    </row>
    <row r="56">
      <c r="A56" s="10">
        <v>45565.0</v>
      </c>
      <c r="B56" s="7">
        <v>8000.0</v>
      </c>
      <c r="C56" s="7">
        <v>5100.0</v>
      </c>
      <c r="D56" s="7">
        <v>18200.0</v>
      </c>
      <c r="E56" s="7">
        <v>21.0</v>
      </c>
    </row>
    <row r="57">
      <c r="A57" s="10">
        <v>45566.0</v>
      </c>
      <c r="B57" s="7">
        <v>9050.0</v>
      </c>
      <c r="C57" s="7">
        <v>5100.0</v>
      </c>
      <c r="D57" s="7">
        <v>17600.0</v>
      </c>
      <c r="E57" s="7">
        <v>28.0</v>
      </c>
    </row>
    <row r="58">
      <c r="A58" s="10">
        <v>45567.0</v>
      </c>
      <c r="B58" s="7">
        <v>8700.0</v>
      </c>
      <c r="C58" s="7">
        <v>6200.0</v>
      </c>
      <c r="D58" s="7">
        <v>12700.0</v>
      </c>
      <c r="E58" s="7">
        <v>23.0</v>
      </c>
    </row>
    <row r="59">
      <c r="A59" s="10">
        <v>45568.0</v>
      </c>
      <c r="B59" s="7">
        <v>9800.0</v>
      </c>
      <c r="C59" s="7">
        <v>5100.0</v>
      </c>
      <c r="D59" s="7">
        <v>11600.0</v>
      </c>
      <c r="E59" s="7">
        <v>23.0</v>
      </c>
    </row>
    <row r="60">
      <c r="A60" s="10">
        <v>45569.0</v>
      </c>
      <c r="B60" s="7">
        <v>9400.0</v>
      </c>
      <c r="C60" s="7">
        <v>5100.0</v>
      </c>
      <c r="D60" s="7">
        <v>14100.0</v>
      </c>
      <c r="E60" s="7">
        <v>20.0</v>
      </c>
    </row>
    <row r="61">
      <c r="A61" s="10">
        <v>45570.0</v>
      </c>
      <c r="B61" s="7">
        <v>10500.0</v>
      </c>
      <c r="C61" s="7">
        <v>10500.0</v>
      </c>
      <c r="D61" s="7">
        <v>15500.0</v>
      </c>
      <c r="E61" s="7">
        <v>5.0</v>
      </c>
    </row>
    <row r="62">
      <c r="A62" s="10">
        <v>45571.0</v>
      </c>
      <c r="B62" s="7">
        <v>8700.0</v>
      </c>
      <c r="C62" s="7">
        <v>5100.0</v>
      </c>
      <c r="D62" s="7">
        <v>16200.0</v>
      </c>
      <c r="E62" s="7">
        <v>18.0</v>
      </c>
    </row>
    <row r="63">
      <c r="A63" s="10">
        <v>45572.0</v>
      </c>
      <c r="B63" s="7">
        <v>8700.0</v>
      </c>
      <c r="C63" s="7">
        <v>5100.0</v>
      </c>
      <c r="D63" s="7">
        <v>12700.0</v>
      </c>
      <c r="E63" s="7">
        <v>30.0</v>
      </c>
    </row>
    <row r="64">
      <c r="A64" s="10">
        <v>45573.0</v>
      </c>
      <c r="B64" s="7">
        <v>10500.0</v>
      </c>
      <c r="C64" s="7">
        <v>6200.0</v>
      </c>
      <c r="D64" s="7">
        <v>15500.0</v>
      </c>
      <c r="E64" s="7">
        <v>24.0</v>
      </c>
    </row>
    <row r="65">
      <c r="A65" s="10">
        <v>45574.0</v>
      </c>
      <c r="B65" s="7">
        <v>10500.0</v>
      </c>
      <c r="C65" s="7">
        <v>5100.0</v>
      </c>
      <c r="D65" s="7">
        <v>15500.0</v>
      </c>
      <c r="E65" s="7">
        <v>27.0</v>
      </c>
    </row>
    <row r="66">
      <c r="A66" s="10">
        <v>45575.0</v>
      </c>
      <c r="B66" s="7">
        <v>8700.0</v>
      </c>
      <c r="C66" s="7">
        <v>5100.0</v>
      </c>
      <c r="D66" s="7">
        <v>14100.0</v>
      </c>
      <c r="E66" s="7">
        <v>29.0</v>
      </c>
    </row>
    <row r="67">
      <c r="A67" s="10">
        <v>45576.0</v>
      </c>
      <c r="B67" s="7">
        <v>10500.0</v>
      </c>
      <c r="C67" s="7">
        <v>7100.0</v>
      </c>
      <c r="D67" s="7">
        <v>13400.0</v>
      </c>
      <c r="E67" s="7">
        <v>13.0</v>
      </c>
    </row>
    <row r="68">
      <c r="A68" s="10">
        <v>45577.0</v>
      </c>
      <c r="B68" s="7">
        <v>10500.0</v>
      </c>
      <c r="C68" s="7">
        <v>6200.0</v>
      </c>
      <c r="D68" s="7">
        <v>11600.0</v>
      </c>
      <c r="E68" s="7">
        <v>5.0</v>
      </c>
    </row>
    <row r="69">
      <c r="A69" s="10">
        <v>45578.0</v>
      </c>
      <c r="B69" s="7">
        <v>8700.0</v>
      </c>
      <c r="C69" s="7">
        <v>6200.0</v>
      </c>
      <c r="D69" s="7">
        <v>15500.0</v>
      </c>
      <c r="E69" s="7">
        <v>16.0</v>
      </c>
    </row>
    <row r="70">
      <c r="A70" s="10">
        <v>45579.0</v>
      </c>
      <c r="B70" s="7">
        <v>10500.0</v>
      </c>
      <c r="C70" s="7">
        <v>6200.0</v>
      </c>
      <c r="D70" s="7">
        <v>14100.0</v>
      </c>
      <c r="E70" s="7">
        <v>15.0</v>
      </c>
    </row>
    <row r="71">
      <c r="A71" s="10">
        <v>45580.0</v>
      </c>
      <c r="B71" s="7">
        <v>8700.0</v>
      </c>
      <c r="C71" s="7">
        <v>5100.0</v>
      </c>
      <c r="D71" s="7">
        <v>11600.0</v>
      </c>
      <c r="E71" s="7">
        <v>19.0</v>
      </c>
    </row>
    <row r="72">
      <c r="A72" s="10">
        <v>45581.0</v>
      </c>
      <c r="B72" s="7">
        <v>8700.0</v>
      </c>
      <c r="C72" s="7">
        <v>5100.0</v>
      </c>
      <c r="D72" s="7">
        <v>16900.0</v>
      </c>
      <c r="E72" s="7">
        <v>24.0</v>
      </c>
    </row>
    <row r="73">
      <c r="A73" s="10">
        <v>45582.0</v>
      </c>
      <c r="B73" s="7">
        <v>10500.0</v>
      </c>
      <c r="C73" s="7">
        <v>6200.0</v>
      </c>
      <c r="D73" s="7">
        <v>15500.0</v>
      </c>
      <c r="E73" s="7">
        <v>19.0</v>
      </c>
    </row>
    <row r="74">
      <c r="A74" s="10">
        <v>45583.0</v>
      </c>
      <c r="B74" s="7">
        <v>9600.0</v>
      </c>
      <c r="C74" s="7">
        <v>6200.0</v>
      </c>
      <c r="D74" s="7">
        <v>15500.0</v>
      </c>
      <c r="E74" s="7">
        <v>22.0</v>
      </c>
    </row>
    <row r="75">
      <c r="A75" s="10">
        <v>45584.0</v>
      </c>
      <c r="B75" s="7">
        <v>10500.0</v>
      </c>
      <c r="C75" s="7">
        <v>8000.0</v>
      </c>
      <c r="D75" s="7">
        <v>15500.0</v>
      </c>
      <c r="E75" s="7">
        <v>11.0</v>
      </c>
    </row>
    <row r="76">
      <c r="A76" s="10">
        <v>45585.0</v>
      </c>
      <c r="B76" s="7">
        <v>8000.0</v>
      </c>
      <c r="C76" s="7">
        <v>5100.0</v>
      </c>
      <c r="D76" s="7">
        <v>15500.0</v>
      </c>
      <c r="E76" s="7">
        <v>16.0</v>
      </c>
    </row>
    <row r="77">
      <c r="A77" s="10">
        <v>45586.0</v>
      </c>
      <c r="B77" s="7">
        <v>10500.0</v>
      </c>
      <c r="C77" s="7">
        <v>7100.0</v>
      </c>
      <c r="D77" s="7">
        <v>12300.0</v>
      </c>
      <c r="E77" s="7">
        <v>26.0</v>
      </c>
    </row>
    <row r="78">
      <c r="A78" s="10">
        <v>45587.0</v>
      </c>
      <c r="B78" s="7">
        <v>9400.0</v>
      </c>
      <c r="C78" s="7">
        <v>6200.0</v>
      </c>
      <c r="D78" s="7">
        <v>16200.0</v>
      </c>
      <c r="E78" s="7">
        <v>23.0</v>
      </c>
    </row>
    <row r="79">
      <c r="A79" s="10">
        <v>45588.0</v>
      </c>
      <c r="B79" s="7">
        <v>8700.0</v>
      </c>
      <c r="C79" s="7">
        <v>5100.0</v>
      </c>
      <c r="D79" s="7">
        <v>12700.0</v>
      </c>
      <c r="E79" s="7">
        <v>37.0</v>
      </c>
    </row>
    <row r="80">
      <c r="A80" s="10">
        <v>45589.0</v>
      </c>
      <c r="B80" s="7">
        <v>8700.0</v>
      </c>
      <c r="C80" s="7">
        <v>6200.0</v>
      </c>
      <c r="D80" s="7">
        <v>13400.0</v>
      </c>
      <c r="E80" s="7">
        <v>25.0</v>
      </c>
    </row>
    <row r="81">
      <c r="A81" s="10">
        <v>45590.0</v>
      </c>
      <c r="B81" s="7">
        <v>8850.0</v>
      </c>
      <c r="C81" s="7">
        <v>5100.0</v>
      </c>
      <c r="D81" s="7">
        <v>16200.0</v>
      </c>
      <c r="E81" s="7">
        <v>34.0</v>
      </c>
    </row>
    <row r="82">
      <c r="A82" s="10">
        <v>45591.0</v>
      </c>
      <c r="B82" s="7">
        <v>9400.0</v>
      </c>
      <c r="C82" s="7">
        <v>4000.0</v>
      </c>
      <c r="D82" s="7">
        <v>15500.0</v>
      </c>
      <c r="E82" s="7">
        <v>29.0</v>
      </c>
    </row>
    <row r="83">
      <c r="A83" s="10">
        <v>45592.0</v>
      </c>
      <c r="B83" s="7">
        <v>9400.0</v>
      </c>
      <c r="C83" s="7">
        <v>6200.0</v>
      </c>
      <c r="D83" s="7">
        <v>16200.0</v>
      </c>
      <c r="E83" s="7">
        <v>27.0</v>
      </c>
    </row>
    <row r="84">
      <c r="A84" s="10">
        <v>45593.0</v>
      </c>
      <c r="B84" s="7">
        <v>10500.0</v>
      </c>
      <c r="C84" s="7">
        <v>6200.0</v>
      </c>
      <c r="D84" s="7">
        <v>16200.0</v>
      </c>
      <c r="E84" s="7">
        <v>34.0</v>
      </c>
    </row>
    <row r="85">
      <c r="A85" s="10">
        <v>45594.0</v>
      </c>
      <c r="B85" s="7">
        <v>8000.0</v>
      </c>
      <c r="C85" s="7">
        <v>6200.0</v>
      </c>
      <c r="D85" s="7">
        <v>15500.0</v>
      </c>
      <c r="E85" s="7">
        <v>19.0</v>
      </c>
    </row>
    <row r="86">
      <c r="A86" s="10">
        <v>45595.0</v>
      </c>
      <c r="B86" s="7">
        <v>8000.0</v>
      </c>
      <c r="C86" s="7">
        <v>5100.0</v>
      </c>
      <c r="D86" s="7">
        <v>11600.0</v>
      </c>
      <c r="E86" s="7">
        <v>26.0</v>
      </c>
    </row>
    <row r="87">
      <c r="A87" s="10">
        <v>45596.0</v>
      </c>
      <c r="B87" s="7">
        <v>8700.0</v>
      </c>
      <c r="C87" s="7">
        <v>5100.0</v>
      </c>
      <c r="D87" s="7">
        <v>11600.0</v>
      </c>
      <c r="E87" s="7">
        <v>17.0</v>
      </c>
    </row>
    <row r="88">
      <c r="A88" s="10">
        <v>45597.0</v>
      </c>
      <c r="B88" s="7">
        <v>9400.0</v>
      </c>
      <c r="C88" s="7">
        <v>7100.0</v>
      </c>
      <c r="D88" s="7">
        <v>12300.0</v>
      </c>
      <c r="E88" s="7">
        <v>19.0</v>
      </c>
    </row>
    <row r="89">
      <c r="A89" s="10">
        <v>45598.0</v>
      </c>
      <c r="B89" s="7">
        <v>8700.0</v>
      </c>
      <c r="C89" s="7">
        <v>6200.0</v>
      </c>
      <c r="D89" s="7">
        <v>16200.0</v>
      </c>
      <c r="E89" s="7">
        <v>20.0</v>
      </c>
    </row>
    <row r="90">
      <c r="A90" s="10">
        <v>45599.0</v>
      </c>
      <c r="B90" s="7">
        <v>8700.0</v>
      </c>
      <c r="C90" s="7">
        <v>6200.0</v>
      </c>
      <c r="D90" s="7">
        <v>16200.0</v>
      </c>
      <c r="E90" s="7">
        <v>21.0</v>
      </c>
    </row>
    <row r="91">
      <c r="A91" s="10">
        <v>45600.0</v>
      </c>
      <c r="B91" s="7">
        <v>8350.0</v>
      </c>
      <c r="C91" s="7">
        <v>1800.0</v>
      </c>
      <c r="D91" s="7">
        <v>16900.0</v>
      </c>
      <c r="E91" s="7">
        <v>28.0</v>
      </c>
    </row>
    <row r="92">
      <c r="A92" s="10">
        <v>45601.0</v>
      </c>
      <c r="B92" s="7">
        <v>9050.0</v>
      </c>
      <c r="C92" s="7">
        <v>5100.0</v>
      </c>
      <c r="D92" s="7">
        <v>16200.0</v>
      </c>
      <c r="E92" s="7">
        <v>22.0</v>
      </c>
    </row>
    <row r="93">
      <c r="A93" s="10">
        <v>45602.0</v>
      </c>
      <c r="B93" s="7">
        <v>8000.0</v>
      </c>
      <c r="C93" s="7">
        <v>6200.0</v>
      </c>
      <c r="D93" s="7">
        <v>15500.0</v>
      </c>
      <c r="E93" s="7">
        <v>15.0</v>
      </c>
    </row>
    <row r="94">
      <c r="A94" s="10">
        <v>45603.0</v>
      </c>
      <c r="B94" s="7">
        <v>8000.0</v>
      </c>
      <c r="C94" s="7">
        <v>4000.0</v>
      </c>
      <c r="D94" s="7">
        <v>13900.0</v>
      </c>
      <c r="E94" s="7">
        <v>25.0</v>
      </c>
    </row>
    <row r="95">
      <c r="A95" s="10">
        <v>45604.0</v>
      </c>
      <c r="B95" s="7">
        <v>8700.0</v>
      </c>
      <c r="C95" s="7">
        <v>5100.0</v>
      </c>
      <c r="D95" s="7">
        <v>19000.0</v>
      </c>
      <c r="E95" s="7">
        <v>20.0</v>
      </c>
    </row>
    <row r="96">
      <c r="A96" s="10">
        <v>45605.0</v>
      </c>
      <c r="B96" s="7">
        <v>9600.0</v>
      </c>
      <c r="C96" s="7">
        <v>5100.0</v>
      </c>
      <c r="D96" s="7">
        <v>12300.0</v>
      </c>
      <c r="E96" s="7">
        <v>14.0</v>
      </c>
    </row>
    <row r="97">
      <c r="A97" s="10">
        <v>45606.0</v>
      </c>
      <c r="B97" s="7">
        <v>10500.0</v>
      </c>
      <c r="C97" s="7">
        <v>7100.0</v>
      </c>
      <c r="D97" s="7">
        <v>18100.0</v>
      </c>
      <c r="E97" s="7">
        <v>18.0</v>
      </c>
    </row>
    <row r="98">
      <c r="A98" s="10">
        <v>45607.0</v>
      </c>
      <c r="B98" s="7">
        <v>10500.0</v>
      </c>
      <c r="C98" s="7">
        <v>5100.0</v>
      </c>
      <c r="D98" s="7">
        <v>19700.0</v>
      </c>
      <c r="E98" s="7">
        <v>28.0</v>
      </c>
    </row>
    <row r="99">
      <c r="A99" s="10">
        <v>45608.0</v>
      </c>
      <c r="B99" s="7">
        <v>11800.0</v>
      </c>
      <c r="C99" s="7">
        <v>8000.0</v>
      </c>
      <c r="D99" s="7">
        <v>14200.0</v>
      </c>
      <c r="E99" s="7">
        <v>9.0</v>
      </c>
    </row>
    <row r="100">
      <c r="A100" s="10">
        <v>45609.0</v>
      </c>
      <c r="B100" s="7">
        <v>8000.0</v>
      </c>
      <c r="C100" s="7">
        <v>5800.0</v>
      </c>
      <c r="D100" s="7">
        <v>19000.0</v>
      </c>
      <c r="E100" s="7">
        <v>21.0</v>
      </c>
    </row>
    <row r="101">
      <c r="A101" s="10">
        <v>45610.0</v>
      </c>
      <c r="B101" s="7">
        <v>10600.0</v>
      </c>
      <c r="C101" s="7">
        <v>5800.0</v>
      </c>
      <c r="D101" s="7">
        <v>13800.0</v>
      </c>
      <c r="E101" s="7">
        <v>16.0</v>
      </c>
    </row>
    <row r="102">
      <c r="A102" s="10">
        <v>45611.0</v>
      </c>
      <c r="B102" s="7">
        <v>8500.0</v>
      </c>
      <c r="C102" s="7">
        <v>5800.0</v>
      </c>
      <c r="D102" s="7">
        <v>19800.0</v>
      </c>
      <c r="E102" s="7">
        <v>8.0</v>
      </c>
    </row>
    <row r="103">
      <c r="A103" s="10">
        <v>45612.0</v>
      </c>
      <c r="B103" s="7">
        <v>10600.0</v>
      </c>
      <c r="C103" s="7">
        <v>5800.0</v>
      </c>
      <c r="D103" s="7">
        <v>18200.0</v>
      </c>
      <c r="E103" s="7">
        <v>11.0</v>
      </c>
    </row>
    <row r="104">
      <c r="A104" s="10">
        <v>45613.0</v>
      </c>
      <c r="B104" s="7">
        <v>11800.0</v>
      </c>
      <c r="C104" s="7">
        <v>5800.0</v>
      </c>
      <c r="D104" s="7">
        <v>30200.0</v>
      </c>
      <c r="E104" s="7">
        <v>11.0</v>
      </c>
    </row>
    <row r="105">
      <c r="A105" s="10">
        <v>45614.0</v>
      </c>
      <c r="B105" s="7">
        <v>9000.0</v>
      </c>
      <c r="C105" s="7">
        <v>7000.0</v>
      </c>
      <c r="D105" s="7">
        <v>14200.0</v>
      </c>
      <c r="E105" s="7">
        <v>14.0</v>
      </c>
    </row>
    <row r="106">
      <c r="A106" s="10">
        <v>45615.0</v>
      </c>
      <c r="B106" s="7">
        <v>9800.0</v>
      </c>
      <c r="C106" s="7">
        <v>5800.0</v>
      </c>
      <c r="D106" s="7">
        <v>19000.0</v>
      </c>
      <c r="E106" s="7">
        <v>10.0</v>
      </c>
    </row>
    <row r="107">
      <c r="A107" s="10">
        <v>45616.0</v>
      </c>
      <c r="B107" s="7">
        <v>10600.0</v>
      </c>
      <c r="C107" s="7">
        <v>4800.0</v>
      </c>
      <c r="D107" s="7">
        <v>18200.0</v>
      </c>
      <c r="E107" s="7">
        <v>20.0</v>
      </c>
    </row>
    <row r="108">
      <c r="A108" s="10">
        <v>45617.0</v>
      </c>
      <c r="B108" s="7">
        <v>8000.0</v>
      </c>
      <c r="C108" s="7">
        <v>5800.0</v>
      </c>
      <c r="D108" s="7">
        <v>19000.0</v>
      </c>
      <c r="E108" s="7">
        <v>15.0</v>
      </c>
    </row>
    <row r="109">
      <c r="A109" s="10">
        <v>45618.0</v>
      </c>
      <c r="B109" s="7">
        <v>8000.0</v>
      </c>
      <c r="C109" s="7">
        <v>5800.0</v>
      </c>
      <c r="D109" s="7">
        <v>18100.0</v>
      </c>
      <c r="E109" s="7">
        <v>15.0</v>
      </c>
    </row>
    <row r="110">
      <c r="A110" s="10">
        <v>45619.0</v>
      </c>
      <c r="B110" s="7">
        <v>10200.0</v>
      </c>
      <c r="C110" s="7">
        <v>7000.0</v>
      </c>
      <c r="D110" s="7">
        <v>15800.0</v>
      </c>
      <c r="E110" s="7">
        <v>10.0</v>
      </c>
    </row>
    <row r="111">
      <c r="A111" s="10">
        <v>45620.0</v>
      </c>
      <c r="B111" s="7">
        <v>9800.0</v>
      </c>
      <c r="C111" s="7">
        <v>5800.0</v>
      </c>
      <c r="D111" s="7">
        <v>20600.0</v>
      </c>
      <c r="E111" s="7">
        <v>13.0</v>
      </c>
    </row>
    <row r="112">
      <c r="A112" s="10">
        <v>45621.0</v>
      </c>
      <c r="B112" s="7">
        <v>11800.0</v>
      </c>
      <c r="C112" s="7">
        <v>8000.0</v>
      </c>
      <c r="D112" s="7">
        <v>15800.0</v>
      </c>
      <c r="E112" s="7">
        <v>10.0</v>
      </c>
    </row>
    <row r="113">
      <c r="A113" s="10">
        <v>45622.0</v>
      </c>
      <c r="B113" s="7">
        <v>7000.0</v>
      </c>
      <c r="C113" s="7">
        <v>5800.0</v>
      </c>
      <c r="D113" s="7">
        <v>13000.0</v>
      </c>
      <c r="E113" s="7">
        <v>9.0</v>
      </c>
    </row>
    <row r="114">
      <c r="A114" s="10">
        <v>45623.0</v>
      </c>
      <c r="B114" s="7">
        <v>11800.0</v>
      </c>
      <c r="C114" s="7">
        <v>5800.0</v>
      </c>
      <c r="D114" s="7">
        <v>75520.0</v>
      </c>
      <c r="E114" s="7">
        <v>12.0</v>
      </c>
    </row>
    <row r="115">
      <c r="A115" s="10">
        <v>45624.0</v>
      </c>
      <c r="B115" s="7">
        <v>11800.0</v>
      </c>
      <c r="C115" s="7">
        <v>5800.0</v>
      </c>
      <c r="D115" s="7">
        <v>35600.0</v>
      </c>
      <c r="E115" s="7">
        <v>17.0</v>
      </c>
    </row>
    <row r="116">
      <c r="A116" s="10">
        <v>45625.0</v>
      </c>
      <c r="B116" s="7">
        <v>9800.0</v>
      </c>
      <c r="C116" s="7">
        <v>7000.0</v>
      </c>
      <c r="D116" s="7">
        <v>25400.0</v>
      </c>
      <c r="E116" s="7">
        <v>19.0</v>
      </c>
    </row>
    <row r="117">
      <c r="A117" s="10">
        <v>45626.0</v>
      </c>
      <c r="B117" s="7">
        <v>8900.0</v>
      </c>
      <c r="C117" s="7">
        <v>5800.0</v>
      </c>
      <c r="D117" s="7">
        <v>16600.0</v>
      </c>
      <c r="E117" s="7">
        <v>8.0</v>
      </c>
    </row>
    <row r="118">
      <c r="A118" s="10">
        <v>45627.0</v>
      </c>
      <c r="B118" s="7">
        <v>9400.0</v>
      </c>
      <c r="C118" s="7">
        <v>4000.0</v>
      </c>
      <c r="D118" s="7">
        <v>22300.0</v>
      </c>
      <c r="E118" s="7">
        <v>16.0</v>
      </c>
    </row>
    <row r="119">
      <c r="A119" s="10">
        <v>45628.0</v>
      </c>
      <c r="B119" s="7">
        <v>9000.0</v>
      </c>
      <c r="C119" s="7">
        <v>5800.0</v>
      </c>
      <c r="D119" s="7">
        <v>35000.0</v>
      </c>
      <c r="E119" s="7">
        <v>18.0</v>
      </c>
    </row>
    <row r="120">
      <c r="A120" s="10">
        <v>45629.0</v>
      </c>
      <c r="B120" s="7">
        <v>9800.0</v>
      </c>
      <c r="C120" s="7">
        <v>5800.0</v>
      </c>
      <c r="D120" s="7">
        <v>14200.0</v>
      </c>
      <c r="E120" s="7">
        <v>36.0</v>
      </c>
    </row>
    <row r="121">
      <c r="A121" s="10">
        <v>45630.0</v>
      </c>
      <c r="B121" s="7">
        <v>10800.0</v>
      </c>
      <c r="C121" s="7">
        <v>5800.0</v>
      </c>
      <c r="D121" s="7">
        <v>17400.0</v>
      </c>
      <c r="E121" s="7">
        <v>12.0</v>
      </c>
    </row>
    <row r="122">
      <c r="A122" s="10">
        <v>45631.0</v>
      </c>
      <c r="B122" s="7">
        <v>9000.0</v>
      </c>
      <c r="C122" s="7">
        <v>4000.0</v>
      </c>
      <c r="D122" s="7">
        <v>19000.0</v>
      </c>
      <c r="E122" s="7">
        <v>17.0</v>
      </c>
    </row>
    <row r="123">
      <c r="A123" s="10">
        <v>45632.0</v>
      </c>
      <c r="B123" s="7">
        <v>10800.0</v>
      </c>
      <c r="C123" s="7">
        <v>5800.0</v>
      </c>
      <c r="D123" s="7">
        <v>37400.0</v>
      </c>
      <c r="E123" s="7">
        <v>16.0</v>
      </c>
    </row>
    <row r="124">
      <c r="A124" s="10">
        <v>45633.0</v>
      </c>
      <c r="B124" s="7">
        <v>9850.0</v>
      </c>
      <c r="C124" s="7">
        <v>7000.0</v>
      </c>
      <c r="D124" s="7">
        <v>16800.0</v>
      </c>
      <c r="E124" s="7">
        <v>6.0</v>
      </c>
    </row>
    <row r="125">
      <c r="A125" s="10">
        <v>45634.0</v>
      </c>
      <c r="B125" s="7">
        <v>11800.0</v>
      </c>
      <c r="C125" s="7">
        <v>5800.0</v>
      </c>
      <c r="D125" s="7">
        <v>18200.0</v>
      </c>
      <c r="E125" s="7">
        <v>10.0</v>
      </c>
    </row>
    <row r="126">
      <c r="A126" s="10">
        <v>45635.0</v>
      </c>
      <c r="B126" s="7">
        <v>10600.0</v>
      </c>
      <c r="C126" s="7">
        <v>5800.0</v>
      </c>
      <c r="D126" s="7">
        <v>46800.0</v>
      </c>
      <c r="E126" s="7">
        <v>17.0</v>
      </c>
    </row>
    <row r="127">
      <c r="A127" s="10">
        <v>45636.0</v>
      </c>
      <c r="B127" s="7">
        <v>10800.0</v>
      </c>
      <c r="C127" s="7">
        <v>7000.0</v>
      </c>
      <c r="D127" s="7">
        <v>17400.0</v>
      </c>
      <c r="E127" s="7">
        <v>10.0</v>
      </c>
    </row>
    <row r="128">
      <c r="A128" s="10">
        <v>45637.0</v>
      </c>
      <c r="B128" s="7">
        <v>9800.0</v>
      </c>
      <c r="C128" s="7">
        <v>9800.0</v>
      </c>
      <c r="D128" s="7">
        <v>23700.0</v>
      </c>
      <c r="E128" s="7">
        <v>3.0</v>
      </c>
    </row>
    <row r="129">
      <c r="A129" s="10">
        <v>45638.0</v>
      </c>
      <c r="B129" s="7">
        <v>8500.0</v>
      </c>
      <c r="C129" s="7">
        <v>8000.0</v>
      </c>
      <c r="D129" s="7">
        <v>19800.0</v>
      </c>
      <c r="E129" s="7">
        <v>8.0</v>
      </c>
    </row>
    <row r="130">
      <c r="A130" s="10">
        <v>45639.0</v>
      </c>
      <c r="B130" s="7">
        <v>13000.0</v>
      </c>
      <c r="C130" s="7">
        <v>5800.0</v>
      </c>
      <c r="D130" s="7">
        <v>20200.0</v>
      </c>
      <c r="E130" s="7">
        <v>6.0</v>
      </c>
    </row>
    <row r="131">
      <c r="A131" s="10">
        <v>45640.0</v>
      </c>
      <c r="B131" s="7">
        <v>9000.0</v>
      </c>
      <c r="C131" s="7">
        <v>7000.0</v>
      </c>
      <c r="D131" s="7">
        <v>13800.0</v>
      </c>
      <c r="E131" s="7">
        <v>5.0</v>
      </c>
    </row>
    <row r="132">
      <c r="A132" s="10">
        <v>45641.0</v>
      </c>
      <c r="B132" s="7">
        <v>11200.0</v>
      </c>
      <c r="C132" s="7">
        <v>5800.0</v>
      </c>
      <c r="D132" s="7">
        <v>41200.0</v>
      </c>
      <c r="E132" s="7">
        <v>12.0</v>
      </c>
    </row>
    <row r="133">
      <c r="A133" s="10">
        <v>45642.0</v>
      </c>
      <c r="B133" s="7">
        <v>8900.0</v>
      </c>
      <c r="C133" s="7">
        <v>7000.0</v>
      </c>
      <c r="D133" s="7">
        <v>11800.0</v>
      </c>
      <c r="E133" s="7">
        <v>6.0</v>
      </c>
    </row>
    <row r="134">
      <c r="A134" s="10">
        <v>45643.0</v>
      </c>
      <c r="B134" s="7">
        <v>11800.0</v>
      </c>
      <c r="C134" s="7">
        <v>7000.0</v>
      </c>
      <c r="D134" s="7">
        <v>30000.0</v>
      </c>
      <c r="E134" s="7">
        <v>10.0</v>
      </c>
    </row>
    <row r="135">
      <c r="A135" s="10">
        <v>45644.0</v>
      </c>
      <c r="B135" s="7">
        <v>10600.0</v>
      </c>
      <c r="C135" s="7">
        <v>5800.0</v>
      </c>
      <c r="D135" s="7">
        <v>19800.0</v>
      </c>
      <c r="E135" s="7">
        <v>10.0</v>
      </c>
    </row>
    <row r="136">
      <c r="A136" s="10">
        <v>45645.0</v>
      </c>
      <c r="B136" s="7">
        <v>14200.0</v>
      </c>
      <c r="C136" s="7">
        <v>7000.0</v>
      </c>
      <c r="D136" s="7">
        <v>20600.0</v>
      </c>
      <c r="E136" s="7">
        <v>7.0</v>
      </c>
    </row>
    <row r="137">
      <c r="A137" s="10">
        <v>45646.0</v>
      </c>
      <c r="B137" s="7">
        <v>11800.0</v>
      </c>
      <c r="C137" s="7">
        <v>7000.0</v>
      </c>
      <c r="D137" s="7">
        <v>24400.0</v>
      </c>
      <c r="E137" s="7">
        <v>9.0</v>
      </c>
    </row>
    <row r="138">
      <c r="A138" s="10">
        <v>45647.0</v>
      </c>
      <c r="B138" s="7">
        <v>12400.0</v>
      </c>
      <c r="C138" s="7">
        <v>9000.0</v>
      </c>
      <c r="D138" s="7">
        <v>25900.0</v>
      </c>
      <c r="E138" s="7">
        <v>14.0</v>
      </c>
    </row>
    <row r="139">
      <c r="A139" s="10">
        <v>45648.0</v>
      </c>
      <c r="B139" s="7">
        <v>10600.0</v>
      </c>
      <c r="C139" s="7">
        <v>8000.0</v>
      </c>
      <c r="D139" s="7">
        <v>25900.0</v>
      </c>
      <c r="E139" s="7">
        <v>15.0</v>
      </c>
    </row>
    <row r="140">
      <c r="A140" s="10">
        <v>45649.0</v>
      </c>
      <c r="B140" s="7">
        <v>15600.0</v>
      </c>
      <c r="C140" s="7">
        <v>9800.0</v>
      </c>
      <c r="D140" s="7">
        <v>23800.0</v>
      </c>
      <c r="E140" s="7">
        <v>4.0</v>
      </c>
    </row>
    <row r="141">
      <c r="A141" s="10">
        <v>45650.0</v>
      </c>
      <c r="B141" s="7">
        <v>11000.0</v>
      </c>
      <c r="C141" s="7">
        <v>7000.0</v>
      </c>
      <c r="D141" s="7">
        <v>18200.0</v>
      </c>
      <c r="E141" s="7">
        <v>8.0</v>
      </c>
    </row>
    <row r="142">
      <c r="A142" s="10">
        <v>45651.0</v>
      </c>
      <c r="B142" s="7">
        <v>11800.0</v>
      </c>
      <c r="C142" s="7">
        <v>7000.0</v>
      </c>
      <c r="D142" s="7">
        <v>15600.0</v>
      </c>
      <c r="E142" s="7">
        <v>10.0</v>
      </c>
    </row>
    <row r="143">
      <c r="A143" s="10">
        <v>45652.0</v>
      </c>
      <c r="B143" s="7">
        <v>10600.0</v>
      </c>
      <c r="C143" s="7">
        <v>7000.0</v>
      </c>
      <c r="D143" s="7">
        <v>22400.0</v>
      </c>
      <c r="E143" s="7">
        <v>13.0</v>
      </c>
    </row>
    <row r="144">
      <c r="A144" s="10">
        <v>45653.0</v>
      </c>
      <c r="B144" s="7">
        <v>13000.0</v>
      </c>
      <c r="C144" s="7">
        <v>7000.0</v>
      </c>
      <c r="D144" s="7">
        <v>39800.0</v>
      </c>
      <c r="E144" s="7">
        <v>15.0</v>
      </c>
    </row>
    <row r="145">
      <c r="A145" s="10">
        <v>45654.0</v>
      </c>
      <c r="B145" s="7">
        <v>9800.0</v>
      </c>
      <c r="C145" s="7">
        <v>9000.0</v>
      </c>
      <c r="D145" s="7">
        <v>15000.0</v>
      </c>
      <c r="E145" s="7">
        <v>10.0</v>
      </c>
    </row>
    <row r="146">
      <c r="A146" s="10">
        <v>45655.0</v>
      </c>
      <c r="B146" s="7">
        <v>13000.0</v>
      </c>
      <c r="C146" s="7">
        <v>9000.0</v>
      </c>
      <c r="D146" s="7">
        <v>32900.0</v>
      </c>
      <c r="E146" s="7">
        <v>11.0</v>
      </c>
    </row>
    <row r="147">
      <c r="A147" s="10">
        <v>45656.0</v>
      </c>
      <c r="B147" s="7">
        <v>10200.0</v>
      </c>
      <c r="C147" s="7">
        <v>5800.0</v>
      </c>
      <c r="D147" s="7">
        <v>16900.0</v>
      </c>
      <c r="E147" s="7">
        <v>20.0</v>
      </c>
    </row>
    <row r="148">
      <c r="A148" s="10">
        <v>45657.0</v>
      </c>
      <c r="B148" s="7">
        <v>13000.0</v>
      </c>
      <c r="C148" s="7">
        <v>9000.0</v>
      </c>
      <c r="D148" s="7">
        <v>17400.0</v>
      </c>
      <c r="E148" s="7">
        <v>10.0</v>
      </c>
    </row>
    <row r="149">
      <c r="A149" s="10">
        <v>45658.0</v>
      </c>
      <c r="B149" s="7">
        <v>9400.0</v>
      </c>
      <c r="C149" s="7">
        <v>5800.0</v>
      </c>
      <c r="D149" s="7">
        <v>13800.0</v>
      </c>
      <c r="E149" s="7">
        <v>8.0</v>
      </c>
    </row>
    <row r="150">
      <c r="A150" s="10">
        <v>45659.0</v>
      </c>
      <c r="B150" s="7">
        <v>9000.0</v>
      </c>
      <c r="C150" s="7">
        <v>5800.0</v>
      </c>
      <c r="D150" s="7">
        <v>23800.0</v>
      </c>
      <c r="E150" s="7">
        <v>28.0</v>
      </c>
    </row>
    <row r="151">
      <c r="A151" s="10">
        <v>45660.0</v>
      </c>
      <c r="B151" s="7">
        <v>10600.0</v>
      </c>
      <c r="C151" s="7">
        <v>7000.0</v>
      </c>
      <c r="D151" s="7">
        <v>29400.0</v>
      </c>
      <c r="E151" s="7">
        <v>27.0</v>
      </c>
    </row>
    <row r="152">
      <c r="A152" s="10">
        <v>45661.0</v>
      </c>
      <c r="B152" s="7">
        <v>11000.0</v>
      </c>
      <c r="C152" s="7">
        <v>5800.0</v>
      </c>
      <c r="D152" s="7">
        <v>21400.0</v>
      </c>
      <c r="E152" s="7">
        <v>8.0</v>
      </c>
    </row>
    <row r="153">
      <c r="A153" s="10">
        <v>45662.0</v>
      </c>
      <c r="B153" s="7">
        <v>9800.0</v>
      </c>
      <c r="C153" s="7">
        <v>8000.0</v>
      </c>
      <c r="D153" s="7">
        <v>18200.0</v>
      </c>
      <c r="E153" s="7">
        <v>15.0</v>
      </c>
    </row>
    <row r="154">
      <c r="A154" s="10">
        <v>45663.0</v>
      </c>
      <c r="B154" s="7">
        <v>13000.0</v>
      </c>
      <c r="C154" s="7">
        <v>9000.0</v>
      </c>
      <c r="D154" s="7">
        <v>14200.0</v>
      </c>
      <c r="E154" s="7">
        <v>9.0</v>
      </c>
    </row>
    <row r="155">
      <c r="A155" s="10">
        <v>45664.0</v>
      </c>
      <c r="B155" s="7">
        <v>9000.0</v>
      </c>
      <c r="C155" s="7">
        <v>5800.0</v>
      </c>
      <c r="D155" s="7">
        <v>28700.0</v>
      </c>
      <c r="E155" s="7">
        <v>24.0</v>
      </c>
    </row>
    <row r="156">
      <c r="A156" s="10">
        <v>45665.0</v>
      </c>
      <c r="B156" s="7">
        <v>8500.0</v>
      </c>
      <c r="C156" s="7">
        <v>5800.0</v>
      </c>
      <c r="D156" s="7">
        <v>26200.0</v>
      </c>
      <c r="E156" s="7">
        <v>18.0</v>
      </c>
    </row>
    <row r="157">
      <c r="A157" s="10">
        <v>45666.0</v>
      </c>
      <c r="B157" s="7">
        <v>9800.0</v>
      </c>
      <c r="C157" s="7">
        <v>7000.0</v>
      </c>
      <c r="D157" s="7">
        <v>13800.0</v>
      </c>
      <c r="E157" s="7">
        <v>13.0</v>
      </c>
    </row>
    <row r="158">
      <c r="A158" s="10">
        <v>45667.0</v>
      </c>
      <c r="B158" s="7">
        <v>9000.0</v>
      </c>
      <c r="C158" s="7">
        <v>5800.0</v>
      </c>
      <c r="D158" s="7">
        <v>10600.0</v>
      </c>
      <c r="E158" s="7">
        <v>10.0</v>
      </c>
    </row>
    <row r="159">
      <c r="A159" s="10">
        <v>45668.0</v>
      </c>
      <c r="B159" s="7">
        <v>9800.0</v>
      </c>
      <c r="C159" s="7">
        <v>5800.0</v>
      </c>
      <c r="D159" s="7">
        <v>15600.0</v>
      </c>
      <c r="E159" s="7">
        <v>20.0</v>
      </c>
    </row>
    <row r="160">
      <c r="A160" s="10">
        <v>45669.0</v>
      </c>
      <c r="B160" s="7">
        <v>11400.0</v>
      </c>
      <c r="C160" s="7">
        <v>7000.0</v>
      </c>
      <c r="D160" s="7">
        <v>20300.0</v>
      </c>
      <c r="E160" s="7">
        <v>14.0</v>
      </c>
    </row>
    <row r="161">
      <c r="A161" s="10">
        <v>45670.0</v>
      </c>
      <c r="B161" s="7">
        <v>10600.0</v>
      </c>
      <c r="C161" s="7">
        <v>8000.0</v>
      </c>
      <c r="D161" s="7">
        <v>17400.0</v>
      </c>
      <c r="E161" s="7">
        <v>15.0</v>
      </c>
    </row>
    <row r="162">
      <c r="A162" s="10">
        <v>45671.0</v>
      </c>
      <c r="B162" s="7">
        <v>10600.0</v>
      </c>
      <c r="C162" s="7">
        <v>5800.0</v>
      </c>
      <c r="D162" s="7">
        <v>27300.0</v>
      </c>
      <c r="E162" s="7">
        <v>19.0</v>
      </c>
    </row>
    <row r="163">
      <c r="A163" s="10">
        <v>45672.0</v>
      </c>
      <c r="B163" s="7">
        <v>9000.0</v>
      </c>
      <c r="C163" s="7">
        <v>5800.0</v>
      </c>
      <c r="D163" s="7">
        <v>27300.0</v>
      </c>
      <c r="E163" s="7">
        <v>21.0</v>
      </c>
    </row>
    <row r="164">
      <c r="A164" s="10">
        <v>45673.0</v>
      </c>
      <c r="B164" s="7">
        <v>10600.0</v>
      </c>
      <c r="C164" s="7">
        <v>7000.0</v>
      </c>
      <c r="D164" s="7">
        <v>14200.0</v>
      </c>
      <c r="E164" s="7">
        <v>15.0</v>
      </c>
    </row>
    <row r="165">
      <c r="A165" s="10">
        <v>45674.0</v>
      </c>
      <c r="B165" s="7">
        <v>9800.0</v>
      </c>
      <c r="C165" s="7">
        <v>7000.0</v>
      </c>
      <c r="D165" s="7">
        <v>22400.0</v>
      </c>
      <c r="E165" s="7">
        <v>12.0</v>
      </c>
    </row>
    <row r="166">
      <c r="A166" s="10">
        <v>45675.0</v>
      </c>
      <c r="B166" s="7">
        <v>9800.0</v>
      </c>
      <c r="C166" s="7">
        <v>7000.0</v>
      </c>
      <c r="D166" s="7">
        <v>31500.0</v>
      </c>
      <c r="E166" s="7">
        <v>18.0</v>
      </c>
    </row>
    <row r="167">
      <c r="A167" s="10">
        <v>45676.0</v>
      </c>
      <c r="B167" s="7">
        <v>13000.0</v>
      </c>
      <c r="C167" s="7">
        <v>9000.0</v>
      </c>
      <c r="D167" s="7">
        <v>22400.0</v>
      </c>
      <c r="E167" s="7">
        <v>15.0</v>
      </c>
    </row>
    <row r="168">
      <c r="A168" s="10">
        <v>45677.0</v>
      </c>
      <c r="B168" s="7">
        <v>9800.0</v>
      </c>
      <c r="C168" s="7">
        <v>5800.0</v>
      </c>
      <c r="D168" s="7">
        <v>25900.0</v>
      </c>
      <c r="E168" s="7">
        <v>21.0</v>
      </c>
    </row>
    <row r="169">
      <c r="A169" s="10">
        <v>45678.0</v>
      </c>
      <c r="B169" s="7">
        <v>9800.0</v>
      </c>
      <c r="C169" s="7">
        <v>5800.0</v>
      </c>
      <c r="D169" s="7">
        <v>26500.0</v>
      </c>
      <c r="E169" s="7">
        <v>17.0</v>
      </c>
    </row>
    <row r="170">
      <c r="A170" s="10">
        <v>45679.0</v>
      </c>
      <c r="B170" s="7">
        <v>9800.0</v>
      </c>
      <c r="C170" s="7">
        <v>7000.0</v>
      </c>
      <c r="D170" s="7">
        <v>34300.0</v>
      </c>
      <c r="E170" s="7">
        <v>20.0</v>
      </c>
    </row>
    <row r="171">
      <c r="A171" s="10">
        <v>45680.0</v>
      </c>
      <c r="B171" s="7">
        <v>13000.0</v>
      </c>
      <c r="C171" s="7">
        <v>9000.0</v>
      </c>
      <c r="D171" s="7">
        <v>25900.0</v>
      </c>
      <c r="E171" s="7">
        <v>15.0</v>
      </c>
    </row>
    <row r="172">
      <c r="A172" s="10">
        <v>45681.0</v>
      </c>
      <c r="B172" s="7">
        <v>13000.0</v>
      </c>
      <c r="C172" s="7">
        <v>5800.0</v>
      </c>
      <c r="D172" s="7">
        <v>31500.0</v>
      </c>
      <c r="E172" s="7">
        <v>14.0</v>
      </c>
    </row>
    <row r="173">
      <c r="A173" s="10">
        <v>45682.0</v>
      </c>
      <c r="B173" s="7">
        <v>10600.0</v>
      </c>
      <c r="C173" s="7">
        <v>7000.0</v>
      </c>
      <c r="D173" s="7">
        <v>23800.0</v>
      </c>
      <c r="E173" s="7">
        <v>15.0</v>
      </c>
    </row>
    <row r="174">
      <c r="A174" s="10">
        <v>45683.0</v>
      </c>
      <c r="B174" s="7">
        <v>8900.0</v>
      </c>
      <c r="C174" s="7">
        <v>5800.0</v>
      </c>
      <c r="D174" s="7">
        <v>13800.0</v>
      </c>
      <c r="E174" s="7">
        <v>10.0</v>
      </c>
    </row>
    <row r="175">
      <c r="A175" s="10">
        <v>45684.0</v>
      </c>
      <c r="B175" s="7">
        <v>9000.0</v>
      </c>
      <c r="C175" s="7">
        <v>7000.0</v>
      </c>
      <c r="D175" s="7">
        <v>13000.0</v>
      </c>
      <c r="E175" s="7">
        <v>11.0</v>
      </c>
    </row>
    <row r="176">
      <c r="A176" s="10">
        <v>45685.0</v>
      </c>
      <c r="B176" s="7">
        <v>9800.0</v>
      </c>
      <c r="C176" s="7">
        <v>5800.0</v>
      </c>
      <c r="D176" s="7">
        <v>21400.0</v>
      </c>
      <c r="E176" s="7">
        <v>14.0</v>
      </c>
    </row>
    <row r="177">
      <c r="A177" s="10">
        <v>45686.0</v>
      </c>
      <c r="B177" s="7">
        <v>9000.0</v>
      </c>
      <c r="C177" s="7">
        <v>5800.0</v>
      </c>
      <c r="D177" s="7">
        <v>42700.0</v>
      </c>
      <c r="E177" s="7">
        <v>12.0</v>
      </c>
    </row>
    <row r="178">
      <c r="A178" s="10">
        <v>45687.0</v>
      </c>
      <c r="B178" s="7">
        <v>12400.0</v>
      </c>
      <c r="C178" s="7">
        <v>8000.0</v>
      </c>
      <c r="D178" s="7">
        <v>27000.0</v>
      </c>
      <c r="E178" s="7">
        <v>14.0</v>
      </c>
    </row>
    <row r="179">
      <c r="A179" s="10">
        <v>45688.0</v>
      </c>
      <c r="B179" s="7">
        <v>9400.0</v>
      </c>
      <c r="C179" s="7">
        <v>5800.0</v>
      </c>
      <c r="D179" s="7">
        <v>15600.0</v>
      </c>
      <c r="E179" s="7">
        <v>16.0</v>
      </c>
    </row>
    <row r="180">
      <c r="A180" s="10">
        <v>45689.0</v>
      </c>
      <c r="B180" s="7">
        <v>12400.0</v>
      </c>
      <c r="C180" s="7">
        <v>8000.0</v>
      </c>
      <c r="D180" s="7">
        <v>22400.0</v>
      </c>
      <c r="E180" s="7">
        <v>12.0</v>
      </c>
    </row>
    <row r="181">
      <c r="A181" s="10">
        <v>45690.0</v>
      </c>
      <c r="B181" s="7">
        <v>9000.0</v>
      </c>
      <c r="C181" s="7">
        <v>5800.0</v>
      </c>
      <c r="D181" s="7">
        <v>36600.0</v>
      </c>
      <c r="E181" s="7">
        <v>11.0</v>
      </c>
    </row>
    <row r="182">
      <c r="A182" s="10">
        <v>45691.0</v>
      </c>
      <c r="B182" s="7">
        <v>9400.0</v>
      </c>
      <c r="C182" s="7">
        <v>5800.0</v>
      </c>
      <c r="D182" s="7">
        <v>32900.0</v>
      </c>
      <c r="E182" s="7">
        <v>14.0</v>
      </c>
    </row>
    <row r="183">
      <c r="A183" s="10">
        <v>45692.0</v>
      </c>
      <c r="B183" s="7">
        <v>9800.0</v>
      </c>
      <c r="C183" s="7">
        <v>4000.0</v>
      </c>
      <c r="D183" s="7">
        <v>18000.0</v>
      </c>
      <c r="E183" s="7">
        <v>19.0</v>
      </c>
    </row>
    <row r="184">
      <c r="A184" s="10">
        <v>45693.0</v>
      </c>
      <c r="B184" s="7">
        <v>9000.0</v>
      </c>
      <c r="C184" s="7">
        <v>5800.0</v>
      </c>
      <c r="D184" s="7">
        <v>13000.0</v>
      </c>
      <c r="E184" s="7">
        <v>15.0</v>
      </c>
    </row>
    <row r="185">
      <c r="A185" s="10">
        <v>45694.0</v>
      </c>
      <c r="B185" s="7">
        <v>9000.0</v>
      </c>
      <c r="C185" s="7">
        <v>5800.0</v>
      </c>
      <c r="D185" s="7">
        <v>15800.0</v>
      </c>
      <c r="E185" s="7">
        <v>17.0</v>
      </c>
    </row>
    <row r="186">
      <c r="A186" s="10">
        <v>45695.0</v>
      </c>
      <c r="B186" s="7">
        <v>9000.0</v>
      </c>
      <c r="C186" s="7">
        <v>5800.0</v>
      </c>
      <c r="D186" s="7">
        <v>16600.0</v>
      </c>
      <c r="E186" s="7">
        <v>9.0</v>
      </c>
    </row>
    <row r="187">
      <c r="A187" s="10">
        <v>45696.0</v>
      </c>
      <c r="B187" s="7">
        <v>9800.0</v>
      </c>
      <c r="C187" s="7">
        <v>7000.0</v>
      </c>
      <c r="D187" s="7">
        <v>20600.0</v>
      </c>
      <c r="E187" s="7">
        <v>13.0</v>
      </c>
    </row>
    <row r="188">
      <c r="A188" s="10">
        <v>45697.0</v>
      </c>
      <c r="B188" s="7">
        <v>11400.0</v>
      </c>
      <c r="C188" s="7">
        <v>7000.0</v>
      </c>
      <c r="D188" s="7">
        <v>23000.0</v>
      </c>
      <c r="E188" s="7">
        <v>16.0</v>
      </c>
    </row>
    <row r="189">
      <c r="A189" s="10">
        <v>45698.0</v>
      </c>
      <c r="B189" s="7">
        <v>9000.0</v>
      </c>
      <c r="C189" s="7">
        <v>5800.0</v>
      </c>
      <c r="D189" s="7">
        <v>13000.0</v>
      </c>
      <c r="E189" s="7">
        <v>13.0</v>
      </c>
    </row>
    <row r="190">
      <c r="A190" s="10">
        <v>45699.0</v>
      </c>
      <c r="B190" s="7">
        <v>9800.0</v>
      </c>
      <c r="C190" s="7">
        <v>9000.0</v>
      </c>
      <c r="D190" s="7">
        <v>19800.0</v>
      </c>
      <c r="E190" s="7">
        <v>9.0</v>
      </c>
    </row>
    <row r="191">
      <c r="A191" s="10">
        <v>45700.0</v>
      </c>
      <c r="B191" s="7">
        <v>10200.0</v>
      </c>
      <c r="C191" s="7">
        <v>2200.0</v>
      </c>
      <c r="D191" s="7">
        <v>25900.0</v>
      </c>
      <c r="E191" s="7">
        <v>20.0</v>
      </c>
    </row>
    <row r="192">
      <c r="A192" s="10">
        <v>45701.0</v>
      </c>
      <c r="B192" s="7">
        <v>13000.0</v>
      </c>
      <c r="C192" s="7">
        <v>7000.0</v>
      </c>
      <c r="D192" s="7">
        <v>22400.0</v>
      </c>
      <c r="E192" s="7">
        <v>14.0</v>
      </c>
    </row>
    <row r="193">
      <c r="A193" s="10">
        <v>45702.0</v>
      </c>
      <c r="B193" s="7">
        <v>10600.0</v>
      </c>
      <c r="C193" s="7">
        <v>7000.0</v>
      </c>
      <c r="D193" s="7">
        <v>16600.0</v>
      </c>
      <c r="E193" s="7">
        <v>19.0</v>
      </c>
    </row>
    <row r="194">
      <c r="A194" s="10">
        <v>45703.0</v>
      </c>
      <c r="B194" s="7">
        <v>11800.0</v>
      </c>
      <c r="C194" s="7">
        <v>8000.0</v>
      </c>
      <c r="D194" s="7">
        <v>16600.0</v>
      </c>
      <c r="E194" s="7">
        <v>7.0</v>
      </c>
    </row>
    <row r="195">
      <c r="A195" s="10">
        <v>45704.0</v>
      </c>
      <c r="B195" s="7">
        <v>9400.0</v>
      </c>
      <c r="C195" s="7">
        <v>9000.0</v>
      </c>
      <c r="D195" s="7">
        <v>22400.0</v>
      </c>
      <c r="E195" s="7">
        <v>10.0</v>
      </c>
    </row>
    <row r="196">
      <c r="A196" s="10">
        <v>45705.0</v>
      </c>
      <c r="B196" s="7">
        <v>9000.0</v>
      </c>
      <c r="C196" s="7">
        <v>5800.0</v>
      </c>
      <c r="D196" s="7">
        <v>13000.0</v>
      </c>
      <c r="E196" s="7">
        <v>9.0</v>
      </c>
    </row>
    <row r="197">
      <c r="A197" s="10">
        <v>45706.0</v>
      </c>
      <c r="B197" s="7">
        <v>9000.0</v>
      </c>
      <c r="C197" s="7">
        <v>7000.0</v>
      </c>
      <c r="D197" s="7">
        <v>23000.0</v>
      </c>
      <c r="E197" s="7">
        <v>16.0</v>
      </c>
    </row>
    <row r="198">
      <c r="A198" s="10">
        <v>45707.0</v>
      </c>
      <c r="B198" s="7">
        <v>13000.0</v>
      </c>
      <c r="C198" s="7">
        <v>8000.0</v>
      </c>
      <c r="D198" s="7">
        <v>15800.0</v>
      </c>
      <c r="E198" s="7">
        <v>11.0</v>
      </c>
    </row>
    <row r="199">
      <c r="A199" s="10">
        <v>45708.0</v>
      </c>
      <c r="B199" s="7">
        <v>9800.0</v>
      </c>
      <c r="C199" s="7">
        <v>7000.0</v>
      </c>
      <c r="D199" s="7">
        <v>13800.0</v>
      </c>
      <c r="E199" s="7">
        <v>9.0</v>
      </c>
    </row>
    <row r="200">
      <c r="A200" s="10">
        <v>45709.0</v>
      </c>
      <c r="B200" s="7">
        <v>9800.0</v>
      </c>
      <c r="C200" s="7">
        <v>5800.0</v>
      </c>
      <c r="D200" s="7">
        <v>16900.0</v>
      </c>
      <c r="E200" s="7">
        <v>15.0</v>
      </c>
    </row>
    <row r="201">
      <c r="A201" s="10">
        <v>45710.0</v>
      </c>
      <c r="B201" s="7">
        <v>10600.0</v>
      </c>
      <c r="C201" s="7">
        <v>5800.0</v>
      </c>
      <c r="D201" s="7">
        <v>18200.0</v>
      </c>
      <c r="E201" s="7">
        <v>13.0</v>
      </c>
    </row>
    <row r="202">
      <c r="A202" s="10">
        <v>45711.0</v>
      </c>
      <c r="B202" s="7">
        <v>10600.0</v>
      </c>
      <c r="C202" s="7">
        <v>7000.0</v>
      </c>
      <c r="D202" s="7">
        <v>25900.0</v>
      </c>
      <c r="E202" s="7">
        <v>28.0</v>
      </c>
    </row>
    <row r="203">
      <c r="A203" s="10">
        <v>45712.0</v>
      </c>
      <c r="B203" s="7">
        <v>9800.0</v>
      </c>
      <c r="C203" s="7">
        <v>5800.0</v>
      </c>
      <c r="D203" s="7">
        <v>23800.0</v>
      </c>
      <c r="E203" s="7">
        <v>17.0</v>
      </c>
    </row>
    <row r="204">
      <c r="A204" s="10">
        <v>45713.0</v>
      </c>
      <c r="B204" s="7">
        <v>10600.0</v>
      </c>
      <c r="C204" s="7">
        <v>5800.0</v>
      </c>
      <c r="D204" s="7">
        <v>15000.0</v>
      </c>
      <c r="E204" s="7">
        <v>11.0</v>
      </c>
    </row>
    <row r="205">
      <c r="A205" s="10">
        <v>45714.0</v>
      </c>
      <c r="B205" s="7">
        <v>9000.0</v>
      </c>
      <c r="C205" s="7">
        <v>5800.0</v>
      </c>
      <c r="D205" s="7">
        <v>15600.0</v>
      </c>
      <c r="E205" s="7">
        <v>13.0</v>
      </c>
    </row>
    <row r="206">
      <c r="A206" s="10">
        <v>45715.0</v>
      </c>
      <c r="B206" s="7">
        <v>10600.0</v>
      </c>
      <c r="C206" s="7">
        <v>5800.0</v>
      </c>
      <c r="D206" s="7">
        <v>23000.0</v>
      </c>
      <c r="E206" s="7">
        <v>25.0</v>
      </c>
    </row>
    <row r="207">
      <c r="A207" s="10">
        <v>45716.0</v>
      </c>
      <c r="B207" s="7">
        <v>9800.0</v>
      </c>
      <c r="C207" s="7">
        <v>5800.0</v>
      </c>
      <c r="D207" s="7">
        <v>16900.0</v>
      </c>
      <c r="E207" s="7">
        <v>17.0</v>
      </c>
    </row>
    <row r="208">
      <c r="A208" s="10">
        <v>45717.0</v>
      </c>
      <c r="B208" s="7">
        <v>11200.0</v>
      </c>
      <c r="C208" s="7">
        <v>7000.0</v>
      </c>
      <c r="D208" s="7">
        <v>18200.0</v>
      </c>
      <c r="E208" s="7">
        <v>10.0</v>
      </c>
    </row>
    <row r="209">
      <c r="A209" s="10">
        <v>45718.0</v>
      </c>
      <c r="B209" s="7">
        <v>9400.0</v>
      </c>
      <c r="C209" s="7">
        <v>8000.0</v>
      </c>
      <c r="D209" s="7">
        <v>18200.0</v>
      </c>
      <c r="E209" s="7">
        <v>16.0</v>
      </c>
    </row>
    <row r="210">
      <c r="A210" s="10">
        <v>45719.0</v>
      </c>
      <c r="B210" s="7">
        <v>9800.0</v>
      </c>
      <c r="C210" s="7">
        <v>8000.0</v>
      </c>
      <c r="D210" s="7">
        <v>19800.0</v>
      </c>
      <c r="E210" s="7">
        <v>15.0</v>
      </c>
    </row>
    <row r="211">
      <c r="A211" s="10">
        <v>45720.0</v>
      </c>
      <c r="B211" s="7">
        <v>9800.0</v>
      </c>
      <c r="C211" s="7">
        <v>4000.0</v>
      </c>
      <c r="D211" s="7">
        <v>34300.0</v>
      </c>
      <c r="E211" s="7">
        <v>29.0</v>
      </c>
    </row>
    <row r="212">
      <c r="A212" s="10">
        <v>45721.0</v>
      </c>
      <c r="B212" s="7">
        <v>9000.0</v>
      </c>
      <c r="C212" s="7">
        <v>7000.0</v>
      </c>
      <c r="D212" s="7">
        <v>20300.0</v>
      </c>
      <c r="E212" s="7">
        <v>22.0</v>
      </c>
    </row>
    <row r="213">
      <c r="A213" s="10">
        <v>45722.0</v>
      </c>
      <c r="B213" s="7">
        <v>9000.0</v>
      </c>
      <c r="C213" s="7">
        <v>5800.0</v>
      </c>
      <c r="D213" s="7">
        <v>22400.0</v>
      </c>
      <c r="E213" s="7">
        <v>15.0</v>
      </c>
    </row>
    <row r="214">
      <c r="A214" s="10">
        <v>45723.0</v>
      </c>
      <c r="B214" s="7">
        <v>9800.0</v>
      </c>
      <c r="C214" s="7">
        <v>7000.0</v>
      </c>
      <c r="D214" s="7">
        <v>18200.0</v>
      </c>
      <c r="E214" s="7">
        <v>14.0</v>
      </c>
    </row>
    <row r="215">
      <c r="A215" s="10">
        <v>45724.0</v>
      </c>
      <c r="B215" s="7">
        <v>9800.0</v>
      </c>
      <c r="C215" s="7">
        <v>8000.0</v>
      </c>
      <c r="D215" s="7">
        <v>13000.0</v>
      </c>
      <c r="E215" s="7">
        <v>13.0</v>
      </c>
    </row>
    <row r="216">
      <c r="A216" s="10">
        <v>45725.0</v>
      </c>
      <c r="B216" s="7">
        <v>9000.0</v>
      </c>
      <c r="C216" s="7">
        <v>5800.0</v>
      </c>
      <c r="D216" s="7">
        <v>18200.0</v>
      </c>
      <c r="E216" s="7">
        <v>18.0</v>
      </c>
    </row>
    <row r="217">
      <c r="A217" s="10">
        <v>45726.0</v>
      </c>
      <c r="B217" s="7">
        <v>9800.0</v>
      </c>
      <c r="C217" s="7">
        <v>5800.0</v>
      </c>
      <c r="D217" s="7">
        <v>18200.0</v>
      </c>
      <c r="E217" s="7">
        <v>29.0</v>
      </c>
    </row>
    <row r="218">
      <c r="A218" s="10">
        <v>45727.0</v>
      </c>
      <c r="B218" s="7">
        <v>9000.0</v>
      </c>
      <c r="C218" s="7">
        <v>5800.0</v>
      </c>
      <c r="D218" s="7">
        <v>17400.0</v>
      </c>
      <c r="E218" s="7">
        <v>18.0</v>
      </c>
    </row>
    <row r="219">
      <c r="A219" s="10">
        <v>45728.0</v>
      </c>
      <c r="B219" s="7">
        <v>9800.0</v>
      </c>
      <c r="C219" s="7">
        <v>5800.0</v>
      </c>
      <c r="D219" s="7">
        <v>22400.0</v>
      </c>
      <c r="E219" s="7">
        <v>27.0</v>
      </c>
    </row>
    <row r="220">
      <c r="A220" s="10">
        <v>45729.0</v>
      </c>
      <c r="B220" s="7">
        <v>13000.0</v>
      </c>
      <c r="C220" s="7">
        <v>9000.0</v>
      </c>
      <c r="D220" s="7">
        <v>22400.0</v>
      </c>
      <c r="E220" s="7">
        <v>18.0</v>
      </c>
    </row>
    <row r="221">
      <c r="A221" s="10">
        <v>45730.0</v>
      </c>
      <c r="B221" s="7">
        <v>9000.0</v>
      </c>
      <c r="C221" s="7">
        <v>5800.0</v>
      </c>
      <c r="D221" s="7">
        <v>13800.0</v>
      </c>
      <c r="E221" s="7">
        <v>23.0</v>
      </c>
    </row>
    <row r="222">
      <c r="A222" s="10">
        <v>45731.0</v>
      </c>
      <c r="B222" s="7">
        <v>9800.0</v>
      </c>
      <c r="C222" s="7">
        <v>8000.0</v>
      </c>
      <c r="D222" s="7">
        <v>22400.0</v>
      </c>
      <c r="E222" s="7">
        <v>12.0</v>
      </c>
    </row>
    <row r="223">
      <c r="A223" s="10">
        <v>45732.0</v>
      </c>
      <c r="B223" s="7">
        <v>9000.0</v>
      </c>
      <c r="C223" s="7">
        <v>5800.0</v>
      </c>
      <c r="D223" s="7">
        <v>28700.0</v>
      </c>
      <c r="E223" s="7">
        <v>15.0</v>
      </c>
    </row>
    <row r="224">
      <c r="A224" s="10">
        <v>45733.0</v>
      </c>
      <c r="B224" s="7">
        <v>9800.0</v>
      </c>
      <c r="C224" s="7">
        <v>7000.0</v>
      </c>
      <c r="D224" s="7">
        <v>22400.0</v>
      </c>
      <c r="E224" s="7">
        <v>16.0</v>
      </c>
    </row>
    <row r="225">
      <c r="A225" s="10">
        <v>45734.0</v>
      </c>
      <c r="B225" s="7">
        <v>9800.0</v>
      </c>
      <c r="C225" s="7">
        <v>5800.0</v>
      </c>
      <c r="D225" s="7">
        <v>25900.0</v>
      </c>
      <c r="E225" s="7">
        <v>34.0</v>
      </c>
    </row>
    <row r="226">
      <c r="A226" s="10">
        <v>45735.0</v>
      </c>
      <c r="B226" s="7">
        <v>10600.0</v>
      </c>
      <c r="C226" s="7">
        <v>8000.0</v>
      </c>
      <c r="D226" s="7">
        <v>15800.0</v>
      </c>
      <c r="E226" s="7">
        <v>25.0</v>
      </c>
    </row>
    <row r="227">
      <c r="A227" s="10">
        <v>45736.0</v>
      </c>
      <c r="B227" s="7">
        <v>10200.0</v>
      </c>
      <c r="C227" s="7">
        <v>5800.0</v>
      </c>
      <c r="D227" s="7">
        <v>15600.0</v>
      </c>
      <c r="E227" s="7">
        <v>18.0</v>
      </c>
    </row>
    <row r="228">
      <c r="A228" s="10">
        <v>45737.0</v>
      </c>
      <c r="B228" s="7">
        <v>10600.0</v>
      </c>
      <c r="C228" s="7">
        <v>5800.0</v>
      </c>
      <c r="D228" s="7">
        <v>42700.0</v>
      </c>
      <c r="E228" s="7">
        <v>22.0</v>
      </c>
    </row>
    <row r="229">
      <c r="A229" s="10">
        <v>45738.0</v>
      </c>
      <c r="B229" s="7">
        <v>9800.0</v>
      </c>
      <c r="C229" s="7">
        <v>7000.0</v>
      </c>
      <c r="D229" s="7">
        <v>22400.0</v>
      </c>
      <c r="E229" s="7">
        <v>28.0</v>
      </c>
    </row>
    <row r="230">
      <c r="A230" s="10">
        <v>45739.0</v>
      </c>
      <c r="B230" s="7">
        <v>9800.0</v>
      </c>
      <c r="C230" s="7">
        <v>4000.0</v>
      </c>
      <c r="D230" s="7">
        <v>22400.0</v>
      </c>
      <c r="E230" s="7">
        <v>29.0</v>
      </c>
    </row>
    <row r="231">
      <c r="A231" s="10">
        <v>45740.0</v>
      </c>
      <c r="B231" s="7">
        <v>10200.0</v>
      </c>
      <c r="C231" s="7">
        <v>4000.0</v>
      </c>
      <c r="D231" s="7">
        <v>22200.0</v>
      </c>
      <c r="E231" s="7">
        <v>22.0</v>
      </c>
    </row>
    <row r="232">
      <c r="A232" s="10">
        <v>45741.0</v>
      </c>
      <c r="B232" s="7">
        <v>9800.0</v>
      </c>
      <c r="C232" s="7">
        <v>7000.0</v>
      </c>
      <c r="D232" s="7">
        <v>18200.0</v>
      </c>
      <c r="E232" s="7">
        <v>7.0</v>
      </c>
    </row>
    <row r="233">
      <c r="A233" s="10">
        <v>45742.0</v>
      </c>
      <c r="B233" s="7">
        <v>10200.0</v>
      </c>
      <c r="C233" s="7">
        <v>7000.0</v>
      </c>
      <c r="D233" s="7">
        <v>31500.0</v>
      </c>
      <c r="E233" s="7">
        <v>26.0</v>
      </c>
    </row>
    <row r="234">
      <c r="A234" s="10">
        <v>45743.0</v>
      </c>
      <c r="B234" s="7">
        <v>13000.0</v>
      </c>
      <c r="C234" s="7">
        <v>7000.0</v>
      </c>
      <c r="D234" s="7">
        <v>22400.0</v>
      </c>
      <c r="E234" s="7">
        <v>19.0</v>
      </c>
    </row>
    <row r="235">
      <c r="A235" s="10">
        <v>45744.0</v>
      </c>
      <c r="B235" s="7">
        <v>9800.0</v>
      </c>
      <c r="C235" s="7">
        <v>7000.0</v>
      </c>
      <c r="D235" s="7">
        <v>16600.0</v>
      </c>
      <c r="E235" s="7">
        <v>22.0</v>
      </c>
    </row>
    <row r="236">
      <c r="A236" s="10">
        <v>45745.0</v>
      </c>
      <c r="B236" s="7">
        <v>9000.0</v>
      </c>
      <c r="C236" s="7">
        <v>1200.0</v>
      </c>
      <c r="D236" s="7">
        <v>18200.0</v>
      </c>
      <c r="E236" s="7">
        <v>17.0</v>
      </c>
    </row>
    <row r="237">
      <c r="A237" s="10">
        <v>45746.0</v>
      </c>
      <c r="B237" s="7">
        <v>9800.0</v>
      </c>
      <c r="C237" s="7">
        <v>1200.0</v>
      </c>
      <c r="D237" s="7">
        <v>29400.0</v>
      </c>
      <c r="E237" s="7">
        <v>26.0</v>
      </c>
    </row>
    <row r="238">
      <c r="A238" s="10">
        <v>45747.0</v>
      </c>
      <c r="B238" s="7">
        <v>10200.0</v>
      </c>
      <c r="C238" s="7">
        <v>4000.0</v>
      </c>
      <c r="D238" s="7">
        <v>20000.0</v>
      </c>
      <c r="E238" s="7">
        <v>20.0</v>
      </c>
    </row>
    <row r="239">
      <c r="A239" s="10">
        <v>45748.0</v>
      </c>
      <c r="B239" s="7">
        <v>10600.0</v>
      </c>
      <c r="C239" s="7">
        <v>5800.0</v>
      </c>
      <c r="D239" s="7">
        <v>53400.0</v>
      </c>
      <c r="E239" s="7">
        <v>25.0</v>
      </c>
    </row>
    <row r="240">
      <c r="A240" s="10">
        <v>45749.0</v>
      </c>
      <c r="B240" s="7">
        <v>9800.0</v>
      </c>
      <c r="C240" s="7">
        <v>5800.0</v>
      </c>
      <c r="D240" s="7">
        <v>27300.0</v>
      </c>
      <c r="E240" s="7">
        <v>26.0</v>
      </c>
    </row>
    <row r="241">
      <c r="A241" s="10">
        <v>45750.0</v>
      </c>
      <c r="B241" s="7">
        <v>10200.0</v>
      </c>
      <c r="C241" s="7">
        <v>1400.0</v>
      </c>
      <c r="D241" s="7">
        <v>25400.0</v>
      </c>
      <c r="E241" s="7">
        <v>24.0</v>
      </c>
    </row>
    <row r="242">
      <c r="A242" s="10">
        <v>45751.0</v>
      </c>
      <c r="B242" s="7">
        <v>10600.0</v>
      </c>
      <c r="C242" s="7">
        <v>5800.0</v>
      </c>
      <c r="D242" s="7">
        <v>28400.0</v>
      </c>
      <c r="E242" s="7">
        <v>35.0</v>
      </c>
    </row>
    <row r="243">
      <c r="A243" s="10">
        <v>45752.0</v>
      </c>
      <c r="B243" s="7">
        <v>8900.0</v>
      </c>
      <c r="C243" s="7">
        <v>1000.0</v>
      </c>
      <c r="D243" s="7">
        <v>18200.0</v>
      </c>
      <c r="E243" s="7">
        <v>32.0</v>
      </c>
    </row>
    <row r="244">
      <c r="A244" s="10">
        <v>45753.0</v>
      </c>
      <c r="B244" s="7">
        <v>9700.0</v>
      </c>
      <c r="C244" s="7">
        <v>800.0</v>
      </c>
      <c r="D244" s="7">
        <v>22400.0</v>
      </c>
      <c r="E244" s="7">
        <v>42.0</v>
      </c>
    </row>
    <row r="245">
      <c r="A245" s="10">
        <v>45754.0</v>
      </c>
      <c r="B245" s="7">
        <v>10200.0</v>
      </c>
      <c r="C245" s="7">
        <v>800.0</v>
      </c>
      <c r="D245" s="7">
        <v>24500.0</v>
      </c>
      <c r="E245" s="7">
        <v>38.0</v>
      </c>
    </row>
    <row r="246">
      <c r="A246" s="10">
        <v>45755.0</v>
      </c>
      <c r="B246" s="7">
        <v>8900.0</v>
      </c>
      <c r="C246" s="7">
        <v>5300.0</v>
      </c>
      <c r="D246" s="7">
        <v>14300.0</v>
      </c>
      <c r="E246" s="7">
        <v>33.0</v>
      </c>
    </row>
    <row r="247">
      <c r="A247" s="10">
        <v>45756.0</v>
      </c>
      <c r="B247" s="7">
        <v>9600.0</v>
      </c>
      <c r="C247" s="7">
        <v>2000.0</v>
      </c>
      <c r="D247" s="7">
        <v>27300.0</v>
      </c>
      <c r="E247" s="7">
        <v>27.0</v>
      </c>
    </row>
    <row r="248">
      <c r="A248" s="10">
        <v>45757.0</v>
      </c>
      <c r="B248" s="7">
        <v>9600.0</v>
      </c>
      <c r="C248" s="7">
        <v>5300.0</v>
      </c>
      <c r="D248" s="7">
        <v>20000.0</v>
      </c>
      <c r="E248" s="7">
        <v>23.0</v>
      </c>
    </row>
    <row r="249">
      <c r="A249" s="10">
        <v>45758.0</v>
      </c>
      <c r="B249" s="7">
        <v>10700.0</v>
      </c>
      <c r="C249" s="7">
        <v>6300.0</v>
      </c>
      <c r="D249" s="7">
        <v>20200.0</v>
      </c>
      <c r="E249" s="7">
        <v>23.0</v>
      </c>
    </row>
    <row r="250">
      <c r="A250" s="10">
        <v>45759.0</v>
      </c>
      <c r="B250" s="7">
        <v>10200.0</v>
      </c>
      <c r="C250" s="7">
        <v>7200.0</v>
      </c>
      <c r="D250" s="7">
        <v>28400.0</v>
      </c>
      <c r="E250" s="7">
        <v>28.0</v>
      </c>
    </row>
    <row r="251">
      <c r="A251" s="10">
        <v>45760.0</v>
      </c>
      <c r="B251" s="7">
        <v>9000.0</v>
      </c>
      <c r="C251" s="7">
        <v>7000.0</v>
      </c>
      <c r="D251" s="7">
        <v>20600.0</v>
      </c>
      <c r="E251" s="7">
        <v>22.0</v>
      </c>
    </row>
    <row r="252">
      <c r="A252" s="10">
        <v>45761.0</v>
      </c>
      <c r="B252" s="7">
        <v>9600.0</v>
      </c>
      <c r="C252" s="7">
        <v>5800.0</v>
      </c>
      <c r="D252" s="7">
        <v>22400.0</v>
      </c>
      <c r="E252" s="7">
        <v>36.0</v>
      </c>
    </row>
    <row r="253">
      <c r="A253" s="10">
        <v>45762.0</v>
      </c>
      <c r="B253" s="7">
        <v>11800.0</v>
      </c>
      <c r="C253" s="7">
        <v>5800.0</v>
      </c>
      <c r="D253" s="7">
        <v>25900.0</v>
      </c>
      <c r="E253" s="7">
        <v>31.0</v>
      </c>
    </row>
    <row r="254">
      <c r="A254" s="10">
        <v>45763.0</v>
      </c>
      <c r="B254" s="7">
        <v>9800.0</v>
      </c>
      <c r="C254" s="7">
        <v>5300.0</v>
      </c>
      <c r="D254" s="7">
        <v>22400.0</v>
      </c>
      <c r="E254" s="7">
        <v>42.0</v>
      </c>
    </row>
    <row r="255">
      <c r="A255" s="10">
        <v>45764.0</v>
      </c>
      <c r="B255" s="7">
        <v>9800.0</v>
      </c>
      <c r="C255" s="7">
        <v>5300.0</v>
      </c>
      <c r="D255" s="7">
        <v>25900.0</v>
      </c>
      <c r="E255" s="7">
        <v>36.0</v>
      </c>
    </row>
    <row r="256">
      <c r="A256" s="10">
        <v>45765.0</v>
      </c>
      <c r="B256" s="7">
        <v>11700.0</v>
      </c>
      <c r="C256" s="7">
        <v>6600.0</v>
      </c>
      <c r="D256" s="7">
        <v>22400.0</v>
      </c>
      <c r="E256" s="7">
        <v>37.0</v>
      </c>
    </row>
    <row r="257">
      <c r="A257" s="10">
        <v>45766.0</v>
      </c>
      <c r="B257" s="7">
        <v>9800.0</v>
      </c>
      <c r="C257" s="7">
        <v>7200.0</v>
      </c>
      <c r="D257" s="7">
        <v>18200.0</v>
      </c>
      <c r="E257" s="7">
        <v>25.0</v>
      </c>
    </row>
    <row r="258">
      <c r="A258" s="10">
        <v>45767.0</v>
      </c>
      <c r="B258" s="7">
        <v>10650.0</v>
      </c>
      <c r="C258" s="7">
        <v>8000.0</v>
      </c>
      <c r="D258" s="7">
        <v>24600.0</v>
      </c>
      <c r="E258" s="7">
        <v>18.0</v>
      </c>
    </row>
    <row r="259">
      <c r="A259" s="10">
        <v>45768.0</v>
      </c>
      <c r="B259" s="7">
        <v>9700.0</v>
      </c>
      <c r="C259" s="7">
        <v>800.0</v>
      </c>
      <c r="D259" s="7">
        <v>25900.0</v>
      </c>
      <c r="E259" s="7">
        <v>32.0</v>
      </c>
    </row>
    <row r="260">
      <c r="A260" s="10">
        <v>45769.0</v>
      </c>
      <c r="B260" s="7">
        <v>9800.0</v>
      </c>
      <c r="C260" s="7">
        <v>900.0</v>
      </c>
      <c r="D260" s="7">
        <v>23000.0</v>
      </c>
      <c r="E260" s="7">
        <v>41.0</v>
      </c>
    </row>
    <row r="261">
      <c r="A261" s="10">
        <v>45770.0</v>
      </c>
      <c r="B261" s="7">
        <v>9300.0</v>
      </c>
      <c r="C261" s="7">
        <v>7000.0</v>
      </c>
      <c r="D261" s="7">
        <v>16400.0</v>
      </c>
      <c r="E261" s="7">
        <v>46.0</v>
      </c>
    </row>
    <row r="262">
      <c r="A262" s="10">
        <v>45771.0</v>
      </c>
      <c r="B262" s="7">
        <v>9700.0</v>
      </c>
      <c r="C262" s="7">
        <v>5300.0</v>
      </c>
      <c r="D262" s="7">
        <v>26500.0</v>
      </c>
      <c r="E262" s="7">
        <v>48.0</v>
      </c>
    </row>
    <row r="263">
      <c r="A263" s="10">
        <v>45772.0</v>
      </c>
      <c r="B263" s="7">
        <v>9700.0</v>
      </c>
      <c r="C263" s="7">
        <v>8000.0</v>
      </c>
      <c r="D263" s="7">
        <v>25900.0</v>
      </c>
      <c r="E263" s="7">
        <v>18.0</v>
      </c>
    </row>
    <row r="264">
      <c r="A264" s="10">
        <v>45773.0</v>
      </c>
      <c r="B264" s="7">
        <v>10100.0</v>
      </c>
      <c r="C264" s="7">
        <v>800.0</v>
      </c>
      <c r="D264" s="7">
        <v>22400.0</v>
      </c>
      <c r="E264" s="7">
        <v>36.0</v>
      </c>
    </row>
    <row r="265">
      <c r="A265" s="10">
        <v>45774.0</v>
      </c>
      <c r="B265" s="7">
        <v>9000.0</v>
      </c>
      <c r="C265" s="7">
        <v>1800.0</v>
      </c>
      <c r="D265" s="7">
        <v>32900.0</v>
      </c>
      <c r="E265" s="7">
        <v>40.0</v>
      </c>
    </row>
    <row r="266">
      <c r="A266" s="10">
        <v>45775.0</v>
      </c>
      <c r="B266" s="7">
        <v>10200.0</v>
      </c>
      <c r="C266" s="7">
        <v>800.0</v>
      </c>
      <c r="D266" s="7">
        <v>24600.0</v>
      </c>
      <c r="E266" s="7">
        <v>50.0</v>
      </c>
    </row>
    <row r="267">
      <c r="A267" s="10">
        <v>45776.0</v>
      </c>
      <c r="B267" s="7">
        <v>9000.0</v>
      </c>
      <c r="C267" s="7">
        <v>2900.0</v>
      </c>
      <c r="D267" s="7">
        <v>25900.0</v>
      </c>
      <c r="E267" s="7">
        <v>44.0</v>
      </c>
    </row>
    <row r="268">
      <c r="A268" s="10">
        <v>45777.0</v>
      </c>
      <c r="B268" s="7">
        <v>9800.0</v>
      </c>
      <c r="C268" s="7">
        <v>1000.0</v>
      </c>
      <c r="D268" s="7">
        <v>34300.0</v>
      </c>
      <c r="E268" s="7">
        <v>42.0</v>
      </c>
    </row>
    <row r="269">
      <c r="A269" s="10">
        <v>45778.0</v>
      </c>
      <c r="B269" s="7">
        <v>9700.0</v>
      </c>
      <c r="C269" s="7">
        <v>1700.0</v>
      </c>
      <c r="D269" s="7">
        <v>34700.0</v>
      </c>
      <c r="E269" s="7">
        <v>56.0</v>
      </c>
    </row>
    <row r="270">
      <c r="A270" s="10">
        <v>45779.0</v>
      </c>
      <c r="B270" s="7">
        <v>11700.0</v>
      </c>
      <c r="C270" s="7">
        <v>5300.0</v>
      </c>
      <c r="D270" s="7">
        <v>20200.0</v>
      </c>
      <c r="E270" s="7">
        <v>29.0</v>
      </c>
    </row>
    <row r="271">
      <c r="A271" s="10">
        <v>45780.0</v>
      </c>
      <c r="B271" s="7">
        <v>8900.0</v>
      </c>
      <c r="C271" s="7">
        <v>4000.0</v>
      </c>
      <c r="D271" s="7">
        <v>16400.0</v>
      </c>
      <c r="E271" s="7">
        <v>21.0</v>
      </c>
    </row>
    <row r="272">
      <c r="A272" s="10">
        <v>45781.0</v>
      </c>
      <c r="B272" s="7">
        <v>9300.0</v>
      </c>
      <c r="C272" s="7">
        <v>4000.0</v>
      </c>
      <c r="D272" s="7">
        <v>22400.0</v>
      </c>
      <c r="E272" s="7">
        <v>38.0</v>
      </c>
    </row>
    <row r="273">
      <c r="A273" s="10">
        <v>45782.0</v>
      </c>
      <c r="B273" s="7">
        <v>9600.0</v>
      </c>
      <c r="C273" s="7">
        <v>5300.0</v>
      </c>
      <c r="D273" s="7">
        <v>75000.0</v>
      </c>
      <c r="E273" s="7">
        <v>63.0</v>
      </c>
    </row>
    <row r="274">
      <c r="A274" s="10">
        <v>45783.0</v>
      </c>
      <c r="B274" s="7">
        <v>11200.0</v>
      </c>
      <c r="C274" s="7">
        <v>6300.0</v>
      </c>
      <c r="D274" s="7">
        <v>22400.0</v>
      </c>
      <c r="E274" s="7">
        <v>48.0</v>
      </c>
    </row>
    <row r="275">
      <c r="A275" s="10">
        <v>45784.0</v>
      </c>
      <c r="B275" s="7">
        <v>9600.0</v>
      </c>
      <c r="C275" s="7">
        <v>4000.0</v>
      </c>
      <c r="D275" s="7">
        <v>16600.0</v>
      </c>
      <c r="E275" s="7">
        <v>47.0</v>
      </c>
    </row>
    <row r="276">
      <c r="A276" s="10">
        <v>45785.0</v>
      </c>
      <c r="B276" s="7">
        <v>9000.0</v>
      </c>
      <c r="C276" s="7">
        <v>2100.0</v>
      </c>
      <c r="D276" s="7">
        <v>23800.0</v>
      </c>
      <c r="E276" s="7">
        <v>41.0</v>
      </c>
    </row>
    <row r="277">
      <c r="A277" s="10">
        <v>45786.0</v>
      </c>
      <c r="B277" s="7">
        <v>9700.0</v>
      </c>
      <c r="C277" s="7">
        <v>4000.0</v>
      </c>
      <c r="D277" s="7">
        <v>27200.0</v>
      </c>
      <c r="E277" s="7">
        <v>26.0</v>
      </c>
    </row>
    <row r="278">
      <c r="A278" s="10">
        <v>45787.0</v>
      </c>
      <c r="B278" s="7">
        <v>10600.0</v>
      </c>
      <c r="C278" s="7">
        <v>6300.0</v>
      </c>
      <c r="D278" s="7">
        <v>31500.0</v>
      </c>
      <c r="E278" s="7">
        <v>36.0</v>
      </c>
    </row>
    <row r="279">
      <c r="A279" s="10">
        <v>45788.0</v>
      </c>
      <c r="B279" s="7">
        <v>9300.0</v>
      </c>
      <c r="C279" s="7">
        <v>4000.0</v>
      </c>
      <c r="D279" s="7">
        <v>13500.0</v>
      </c>
      <c r="E279" s="7">
        <v>38.0</v>
      </c>
    </row>
    <row r="280">
      <c r="A280" s="10">
        <v>45789.0</v>
      </c>
      <c r="B280" s="7">
        <v>9600.0</v>
      </c>
      <c r="C280" s="7">
        <v>4000.0</v>
      </c>
      <c r="D280" s="7">
        <v>47300.0</v>
      </c>
      <c r="E280" s="7">
        <v>55.0</v>
      </c>
    </row>
    <row r="281">
      <c r="A281" s="10">
        <v>45790.0</v>
      </c>
      <c r="B281" s="7">
        <v>9000.0</v>
      </c>
      <c r="C281" s="7">
        <v>4000.0</v>
      </c>
      <c r="D281" s="7">
        <v>22400.0</v>
      </c>
      <c r="E281" s="7">
        <v>42.0</v>
      </c>
    </row>
    <row r="282">
      <c r="A282" s="10">
        <v>45791.0</v>
      </c>
      <c r="B282" s="7">
        <v>9600.0</v>
      </c>
      <c r="C282" s="7">
        <v>5300.0</v>
      </c>
      <c r="D282" s="7">
        <v>27300.0</v>
      </c>
      <c r="E282" s="7">
        <v>45.0</v>
      </c>
    </row>
    <row r="283">
      <c r="A283" s="10">
        <v>45792.0</v>
      </c>
      <c r="B283" s="7">
        <v>9800.0</v>
      </c>
      <c r="C283" s="7">
        <v>4000.0</v>
      </c>
      <c r="D283" s="7">
        <v>22400.0</v>
      </c>
      <c r="E283" s="7">
        <v>43.0</v>
      </c>
    </row>
    <row r="284">
      <c r="A284" s="10">
        <v>45793.0</v>
      </c>
      <c r="B284" s="7">
        <v>9000.0</v>
      </c>
      <c r="C284" s="7">
        <v>1100.0</v>
      </c>
      <c r="D284" s="7">
        <v>25900.0</v>
      </c>
      <c r="E284" s="7">
        <v>37.0</v>
      </c>
    </row>
    <row r="285">
      <c r="A285" s="10">
        <v>45794.0</v>
      </c>
      <c r="B285" s="7">
        <v>9600.0</v>
      </c>
      <c r="C285" s="7">
        <v>5300.0</v>
      </c>
      <c r="D285" s="7">
        <v>18200.0</v>
      </c>
      <c r="E285" s="7">
        <v>44.0</v>
      </c>
    </row>
    <row r="286">
      <c r="A286" s="10">
        <v>45795.0</v>
      </c>
      <c r="B286" s="7">
        <v>8950.0</v>
      </c>
      <c r="C286" s="7">
        <v>1200.0</v>
      </c>
      <c r="D286" s="7">
        <v>20200.0</v>
      </c>
      <c r="E286" s="7">
        <v>42.0</v>
      </c>
    </row>
    <row r="287">
      <c r="A287" s="10">
        <v>45796.0</v>
      </c>
      <c r="B287" s="7">
        <v>9700.0</v>
      </c>
      <c r="C287" s="7">
        <v>5300.0</v>
      </c>
      <c r="D287" s="7">
        <v>13000.0</v>
      </c>
      <c r="E287" s="7">
        <v>32.0</v>
      </c>
    </row>
    <row r="288">
      <c r="A288" s="10">
        <v>45797.0</v>
      </c>
      <c r="B288" s="7">
        <v>10600.0</v>
      </c>
      <c r="C288" s="7">
        <v>5300.0</v>
      </c>
      <c r="D288" s="7">
        <v>18300.0</v>
      </c>
      <c r="E288" s="7">
        <v>28.0</v>
      </c>
    </row>
    <row r="289">
      <c r="A289" s="10">
        <v>45798.0</v>
      </c>
      <c r="B289" s="7">
        <v>9800.0</v>
      </c>
      <c r="C289" s="7">
        <v>4000.0</v>
      </c>
      <c r="D289" s="7">
        <v>21500.0</v>
      </c>
      <c r="E289" s="7">
        <v>55.0</v>
      </c>
    </row>
    <row r="290">
      <c r="A290" s="10">
        <v>45799.0</v>
      </c>
      <c r="B290" s="7">
        <v>9600.0</v>
      </c>
      <c r="C290" s="7">
        <v>2400.0</v>
      </c>
      <c r="D290" s="7">
        <v>13800.0</v>
      </c>
      <c r="E290" s="7">
        <v>35.0</v>
      </c>
    </row>
    <row r="291">
      <c r="A291" s="10">
        <v>45800.0</v>
      </c>
      <c r="B291" s="7">
        <v>9300.0</v>
      </c>
      <c r="C291" s="7">
        <v>6300.0</v>
      </c>
      <c r="D291" s="7">
        <v>18200.0</v>
      </c>
      <c r="E291" s="7">
        <v>30.0</v>
      </c>
    </row>
    <row r="292">
      <c r="A292" s="10">
        <v>45801.0</v>
      </c>
      <c r="B292" s="7">
        <v>9600.0</v>
      </c>
      <c r="C292" s="7">
        <v>4000.0</v>
      </c>
      <c r="D292" s="7">
        <v>22100.0</v>
      </c>
      <c r="E292" s="7">
        <v>30.0</v>
      </c>
    </row>
    <row r="293">
      <c r="A293" s="10">
        <v>45802.0</v>
      </c>
      <c r="B293" s="7">
        <v>10700.0</v>
      </c>
      <c r="C293" s="7">
        <v>1000.0</v>
      </c>
      <c r="D293" s="7">
        <v>25900.0</v>
      </c>
      <c r="E293" s="7">
        <v>34.0</v>
      </c>
    </row>
    <row r="294">
      <c r="A294" s="10">
        <v>45803.0</v>
      </c>
      <c r="B294" s="7">
        <v>11700.0</v>
      </c>
      <c r="C294" s="7">
        <v>4000.0</v>
      </c>
      <c r="D294" s="7">
        <v>22400.0</v>
      </c>
      <c r="E294" s="7">
        <v>53.0</v>
      </c>
    </row>
    <row r="295">
      <c r="A295" s="10">
        <v>45804.0</v>
      </c>
      <c r="B295" s="7">
        <v>10700.0</v>
      </c>
      <c r="C295" s="7">
        <v>800.0</v>
      </c>
      <c r="D295" s="7">
        <v>20200.0</v>
      </c>
      <c r="E295" s="7">
        <v>40.0</v>
      </c>
    </row>
    <row r="296">
      <c r="A296" s="10">
        <v>45805.0</v>
      </c>
      <c r="B296" s="7">
        <v>9700.0</v>
      </c>
      <c r="C296" s="7">
        <v>5800.0</v>
      </c>
      <c r="D296" s="7">
        <v>20200.0</v>
      </c>
      <c r="E296" s="7">
        <v>44.0</v>
      </c>
    </row>
    <row r="297">
      <c r="A297" s="10">
        <v>45806.0</v>
      </c>
      <c r="B297" s="7">
        <v>11700.0</v>
      </c>
      <c r="C297" s="7">
        <v>7200.0</v>
      </c>
      <c r="D297" s="7">
        <v>20200.0</v>
      </c>
      <c r="E297" s="7">
        <v>49.0</v>
      </c>
    </row>
    <row r="298">
      <c r="A298" s="10">
        <v>45807.0</v>
      </c>
      <c r="B298" s="7">
        <v>11700.0</v>
      </c>
      <c r="C298" s="7">
        <v>5800.0</v>
      </c>
      <c r="D298" s="7">
        <v>26000.0</v>
      </c>
      <c r="E298" s="7">
        <v>33.0</v>
      </c>
    </row>
    <row r="299">
      <c r="A299" s="10">
        <v>45808.0</v>
      </c>
      <c r="B299" s="7">
        <v>11700.0</v>
      </c>
      <c r="C299" s="7">
        <v>7200.0</v>
      </c>
      <c r="D299" s="7">
        <v>21500.0</v>
      </c>
      <c r="E299" s="7">
        <v>46.0</v>
      </c>
    </row>
    <row r="300">
      <c r="A300" s="10">
        <v>45809.0</v>
      </c>
      <c r="B300" s="7">
        <v>10600.0</v>
      </c>
      <c r="C300" s="7">
        <v>7000.0</v>
      </c>
      <c r="D300" s="7">
        <v>24500.0</v>
      </c>
      <c r="E300" s="7">
        <v>21.0</v>
      </c>
    </row>
    <row r="301">
      <c r="A301" s="10">
        <v>45810.0</v>
      </c>
      <c r="B301" s="7">
        <v>11800.0</v>
      </c>
      <c r="C301" s="7">
        <v>5800.0</v>
      </c>
      <c r="D301" s="7">
        <v>24500.0</v>
      </c>
      <c r="E301" s="7">
        <v>38.0</v>
      </c>
    </row>
    <row r="302">
      <c r="A302" s="10">
        <v>45811.0</v>
      </c>
      <c r="B302" s="7">
        <v>10650.0</v>
      </c>
      <c r="C302" s="7">
        <v>5800.0</v>
      </c>
      <c r="D302" s="7">
        <v>52600.0</v>
      </c>
      <c r="E302" s="7">
        <v>44.0</v>
      </c>
    </row>
    <row r="303">
      <c r="A303" s="10">
        <v>45812.0</v>
      </c>
      <c r="B303" s="7">
        <v>10600.0</v>
      </c>
      <c r="C303" s="7">
        <v>1500.0</v>
      </c>
      <c r="D303" s="7">
        <v>22400.0</v>
      </c>
      <c r="E303" s="7">
        <v>47.0</v>
      </c>
    </row>
    <row r="304">
      <c r="A304" s="10">
        <v>45813.0</v>
      </c>
      <c r="B304" s="7">
        <v>10200.0</v>
      </c>
      <c r="C304" s="7">
        <v>3000.0</v>
      </c>
      <c r="D304" s="7">
        <v>38500.0</v>
      </c>
      <c r="E304" s="7">
        <v>36.0</v>
      </c>
    </row>
    <row r="305">
      <c r="A305" s="10">
        <v>45814.0</v>
      </c>
      <c r="B305" s="7">
        <v>9800.0</v>
      </c>
      <c r="C305" s="7">
        <v>800.0</v>
      </c>
      <c r="D305" s="7">
        <v>23800.0</v>
      </c>
      <c r="E305" s="7">
        <v>31.0</v>
      </c>
    </row>
    <row r="306">
      <c r="A306" s="10">
        <v>45815.0</v>
      </c>
      <c r="B306" s="7">
        <v>12150.0</v>
      </c>
      <c r="C306" s="7">
        <v>7000.0</v>
      </c>
      <c r="D306" s="7">
        <v>22400.0</v>
      </c>
      <c r="E306" s="7">
        <v>22.0</v>
      </c>
    </row>
    <row r="307">
      <c r="A307" s="10">
        <v>45816.0</v>
      </c>
      <c r="B307" s="7">
        <v>11800.0</v>
      </c>
      <c r="C307" s="7">
        <v>7000.0</v>
      </c>
      <c r="D307" s="7">
        <v>22400.0</v>
      </c>
      <c r="E307" s="7">
        <v>24.0</v>
      </c>
    </row>
    <row r="308">
      <c r="A308" s="10">
        <v>45817.0</v>
      </c>
      <c r="B308" s="7">
        <v>10700.0</v>
      </c>
      <c r="C308" s="7">
        <v>6300.0</v>
      </c>
      <c r="D308" s="7">
        <v>22400.0</v>
      </c>
      <c r="E308" s="7">
        <v>36.0</v>
      </c>
    </row>
    <row r="309">
      <c r="A309" s="10">
        <v>45818.0</v>
      </c>
      <c r="B309" s="7">
        <v>11150.0</v>
      </c>
      <c r="C309" s="7">
        <v>1000.0</v>
      </c>
      <c r="D309" s="7">
        <v>31800.0</v>
      </c>
      <c r="E309" s="7">
        <v>46.0</v>
      </c>
    </row>
    <row r="310">
      <c r="A310" s="10">
        <v>45819.0</v>
      </c>
      <c r="B310" s="7">
        <v>11750.0</v>
      </c>
      <c r="C310" s="7">
        <v>4000.0</v>
      </c>
      <c r="D310" s="7">
        <v>24500.0</v>
      </c>
      <c r="E310" s="7">
        <v>46.0</v>
      </c>
    </row>
    <row r="311">
      <c r="A311" s="10">
        <v>45820.0</v>
      </c>
      <c r="B311" s="7">
        <v>13000.0</v>
      </c>
      <c r="C311" s="7">
        <v>6200.0</v>
      </c>
      <c r="D311" s="7">
        <v>22400.0</v>
      </c>
      <c r="E311" s="7">
        <v>48.0</v>
      </c>
    </row>
    <row r="312">
      <c r="A312" s="10">
        <v>45821.0</v>
      </c>
      <c r="B312" s="7">
        <v>11800.0</v>
      </c>
      <c r="C312" s="7">
        <v>7000.0</v>
      </c>
      <c r="D312" s="7">
        <v>16000.0</v>
      </c>
      <c r="E312" s="7">
        <v>23.0</v>
      </c>
    </row>
    <row r="313">
      <c r="A313" s="10">
        <v>45822.0</v>
      </c>
      <c r="B313" s="7">
        <v>13000.0</v>
      </c>
      <c r="C313" s="7">
        <v>5300.0</v>
      </c>
      <c r="D313" s="7">
        <v>22400.0</v>
      </c>
      <c r="E313" s="7">
        <v>31.0</v>
      </c>
    </row>
    <row r="314">
      <c r="A314" s="10">
        <v>45823.0</v>
      </c>
      <c r="B314" s="7">
        <v>13000.0</v>
      </c>
      <c r="C314" s="7">
        <v>4000.0</v>
      </c>
      <c r="D314" s="7">
        <v>22400.0</v>
      </c>
      <c r="E314" s="7">
        <v>32.0</v>
      </c>
    </row>
    <row r="315">
      <c r="A315" s="10">
        <v>45824.0</v>
      </c>
      <c r="B315" s="7">
        <v>9800.0</v>
      </c>
      <c r="C315" s="7">
        <v>800.0</v>
      </c>
      <c r="D315" s="7">
        <v>165400.0</v>
      </c>
      <c r="E315" s="7">
        <v>35.0</v>
      </c>
    </row>
    <row r="316">
      <c r="A316" s="10">
        <v>45825.0</v>
      </c>
      <c r="B316" s="7">
        <v>11700.0</v>
      </c>
      <c r="C316" s="7">
        <v>1200.0</v>
      </c>
      <c r="D316" s="7">
        <v>25400.0</v>
      </c>
      <c r="E316" s="7">
        <v>43.0</v>
      </c>
    </row>
    <row r="317">
      <c r="A317" s="10">
        <v>45826.0</v>
      </c>
      <c r="B317" s="7">
        <v>11150.0</v>
      </c>
      <c r="C317" s="7">
        <v>6300.0</v>
      </c>
      <c r="D317" s="7">
        <v>18200.0</v>
      </c>
      <c r="E317" s="7">
        <v>28.0</v>
      </c>
    </row>
    <row r="318">
      <c r="A318" s="10">
        <v>45827.0</v>
      </c>
      <c r="B318" s="7">
        <v>10600.0</v>
      </c>
      <c r="C318" s="7">
        <v>100.0</v>
      </c>
      <c r="D318" s="7">
        <v>19800.0</v>
      </c>
      <c r="E318" s="7">
        <v>46.0</v>
      </c>
    </row>
    <row r="319">
      <c r="A319" s="10">
        <v>45828.0</v>
      </c>
      <c r="B319" s="7">
        <v>11900.0</v>
      </c>
      <c r="C319" s="7">
        <v>5800.0</v>
      </c>
      <c r="D319" s="7">
        <v>15800.0</v>
      </c>
      <c r="E319" s="7">
        <v>20.0</v>
      </c>
    </row>
    <row r="320">
      <c r="A320" s="10">
        <v>45829.0</v>
      </c>
      <c r="B320" s="7">
        <v>11800.0</v>
      </c>
      <c r="C320" s="7">
        <v>1000.0</v>
      </c>
      <c r="D320" s="7">
        <v>25900.0</v>
      </c>
      <c r="E320" s="7">
        <v>22.0</v>
      </c>
    </row>
    <row r="321">
      <c r="A321" s="10">
        <v>45830.0</v>
      </c>
      <c r="B321" s="7">
        <v>11800.0</v>
      </c>
      <c r="C321" s="7">
        <v>5800.0</v>
      </c>
      <c r="D321" s="7">
        <v>22400.0</v>
      </c>
      <c r="E321" s="7">
        <v>42.0</v>
      </c>
    </row>
    <row r="322">
      <c r="A322" s="10">
        <v>45831.0</v>
      </c>
      <c r="B322" s="7">
        <v>10600.0</v>
      </c>
      <c r="C322" s="7">
        <v>2000.0</v>
      </c>
      <c r="D322" s="7">
        <v>22400.0</v>
      </c>
      <c r="E322" s="7">
        <v>55.0</v>
      </c>
    </row>
    <row r="323">
      <c r="A323" s="10">
        <v>45832.0</v>
      </c>
      <c r="B323" s="7">
        <v>12000.0</v>
      </c>
      <c r="C323" s="7">
        <v>1300.0</v>
      </c>
      <c r="D323" s="7">
        <v>25900.0</v>
      </c>
      <c r="E323" s="7">
        <v>45.0</v>
      </c>
    </row>
    <row r="324">
      <c r="A324" s="10">
        <v>45833.0</v>
      </c>
      <c r="B324" s="7">
        <v>11200.0</v>
      </c>
      <c r="C324" s="7">
        <v>5800.0</v>
      </c>
      <c r="D324" s="7">
        <v>37400.0</v>
      </c>
      <c r="E324" s="7">
        <v>36.0</v>
      </c>
    </row>
    <row r="325">
      <c r="A325" s="10">
        <v>45834.0</v>
      </c>
      <c r="B325" s="7">
        <v>11700.0</v>
      </c>
      <c r="C325" s="7">
        <v>1000.0</v>
      </c>
      <c r="D325" s="7">
        <v>19000.0</v>
      </c>
      <c r="E325" s="7">
        <v>27.0</v>
      </c>
    </row>
    <row r="326">
      <c r="A326" s="10">
        <v>45835.0</v>
      </c>
      <c r="B326" s="7">
        <v>12750.0</v>
      </c>
      <c r="C326" s="7">
        <v>400.0</v>
      </c>
      <c r="D326" s="7">
        <v>22400.0</v>
      </c>
      <c r="E326" s="7">
        <v>24.0</v>
      </c>
    </row>
    <row r="327">
      <c r="A327" s="10">
        <v>45836.0</v>
      </c>
      <c r="B327" s="7">
        <v>12000.0</v>
      </c>
      <c r="C327" s="7">
        <v>5800.0</v>
      </c>
      <c r="D327" s="7">
        <v>22400.0</v>
      </c>
      <c r="E327" s="7">
        <v>21.0</v>
      </c>
    </row>
    <row r="328">
      <c r="A328" s="10">
        <v>45837.0</v>
      </c>
      <c r="B328" s="7">
        <v>12900.0</v>
      </c>
      <c r="C328" s="7">
        <v>8100.0</v>
      </c>
      <c r="D328" s="7">
        <v>15000.0</v>
      </c>
      <c r="E328" s="7">
        <v>20.0</v>
      </c>
    </row>
    <row r="329">
      <c r="A329" s="10">
        <v>45838.0</v>
      </c>
      <c r="B329" s="7">
        <v>11700.0</v>
      </c>
      <c r="C329" s="7">
        <v>800.0</v>
      </c>
      <c r="D329" s="7">
        <v>22400.0</v>
      </c>
      <c r="E329" s="7">
        <v>40.0</v>
      </c>
    </row>
    <row r="330">
      <c r="A330" s="10">
        <v>45839.0</v>
      </c>
      <c r="B330" s="7">
        <v>13000.0</v>
      </c>
      <c r="C330" s="7">
        <v>800.0</v>
      </c>
      <c r="D330" s="7">
        <v>16900.0</v>
      </c>
      <c r="E330" s="7">
        <v>31.0</v>
      </c>
    </row>
    <row r="331">
      <c r="A331" s="10">
        <v>45840.0</v>
      </c>
      <c r="B331" s="7">
        <v>11900.0</v>
      </c>
      <c r="C331" s="7">
        <v>1300.0</v>
      </c>
      <c r="D331" s="7">
        <v>22400.0</v>
      </c>
      <c r="E331" s="7">
        <v>44.0</v>
      </c>
    </row>
    <row r="332">
      <c r="A332" s="10">
        <v>45841.0</v>
      </c>
      <c r="B332" s="7">
        <v>11700.0</v>
      </c>
      <c r="C332" s="7">
        <v>2100.0</v>
      </c>
      <c r="D332" s="7">
        <v>19000.0</v>
      </c>
      <c r="E332" s="7">
        <v>43.0</v>
      </c>
    </row>
    <row r="333">
      <c r="A333" s="10">
        <v>45842.0</v>
      </c>
      <c r="B333" s="7">
        <v>10600.0</v>
      </c>
      <c r="C333" s="7">
        <v>7000.0</v>
      </c>
      <c r="D333" s="7">
        <v>25900.0</v>
      </c>
      <c r="E333" s="7">
        <v>30.0</v>
      </c>
    </row>
    <row r="334">
      <c r="A334" s="10">
        <v>45843.0</v>
      </c>
      <c r="B334" s="7">
        <v>12250.0</v>
      </c>
      <c r="C334" s="7">
        <v>2400.0</v>
      </c>
      <c r="D334" s="7">
        <v>22400.0</v>
      </c>
      <c r="E334" s="7">
        <v>22.0</v>
      </c>
    </row>
    <row r="335">
      <c r="A335" s="10">
        <v>45844.0</v>
      </c>
      <c r="B335" s="7">
        <v>13000.0</v>
      </c>
      <c r="C335" s="7">
        <v>8000.0</v>
      </c>
      <c r="D335" s="7">
        <v>29400.0</v>
      </c>
      <c r="E335" s="7">
        <v>37.0</v>
      </c>
    </row>
    <row r="336">
      <c r="A336" s="10">
        <v>45845.0</v>
      </c>
      <c r="B336" s="7">
        <v>13000.0</v>
      </c>
      <c r="C336" s="7">
        <v>4000.0</v>
      </c>
      <c r="D336" s="7">
        <v>31500.0</v>
      </c>
      <c r="E336" s="7">
        <v>69.0</v>
      </c>
    </row>
    <row r="337">
      <c r="A337" s="10">
        <v>45846.0</v>
      </c>
      <c r="B337" s="7">
        <v>13000.0</v>
      </c>
      <c r="C337" s="7">
        <v>800.0</v>
      </c>
      <c r="D337" s="7">
        <v>31500.0</v>
      </c>
      <c r="E337" s="7">
        <v>59.0</v>
      </c>
    </row>
    <row r="338">
      <c r="A338" s="10">
        <v>45847.0</v>
      </c>
      <c r="B338" s="7">
        <v>11800.0</v>
      </c>
      <c r="C338" s="7">
        <v>4000.0</v>
      </c>
      <c r="D338" s="7">
        <v>29400.0</v>
      </c>
      <c r="E338" s="7">
        <v>47.0</v>
      </c>
    </row>
    <row r="339">
      <c r="A339" s="10">
        <v>45848.0</v>
      </c>
      <c r="B339" s="7">
        <v>13000.0</v>
      </c>
      <c r="C339" s="7">
        <v>2000.0</v>
      </c>
      <c r="D339" s="7">
        <v>25900.0</v>
      </c>
      <c r="E339" s="7">
        <v>37.0</v>
      </c>
    </row>
    <row r="340">
      <c r="A340" s="10">
        <v>45849.0</v>
      </c>
      <c r="B340" s="7">
        <v>12000.0</v>
      </c>
      <c r="C340" s="7">
        <v>1400.0</v>
      </c>
      <c r="D340" s="7">
        <v>145400.0</v>
      </c>
      <c r="E340" s="7">
        <v>47.0</v>
      </c>
    </row>
    <row r="341">
      <c r="A341" s="10">
        <v>45850.0</v>
      </c>
      <c r="B341" s="7">
        <v>11700.0</v>
      </c>
      <c r="C341" s="7">
        <v>1200.0</v>
      </c>
      <c r="D341" s="7">
        <v>15800.0</v>
      </c>
      <c r="E341" s="7">
        <v>26.0</v>
      </c>
    </row>
    <row r="342">
      <c r="A342" s="10">
        <v>45851.0</v>
      </c>
      <c r="B342" s="7">
        <v>13000.0</v>
      </c>
      <c r="C342" s="7">
        <v>8000.0</v>
      </c>
      <c r="D342" s="7">
        <v>15000.0</v>
      </c>
      <c r="E342" s="7">
        <v>29.0</v>
      </c>
    </row>
    <row r="343">
      <c r="A343" s="10">
        <v>45852.0</v>
      </c>
      <c r="B343" s="7">
        <v>11700.0</v>
      </c>
      <c r="C343" s="7">
        <v>4000.0</v>
      </c>
      <c r="D343" s="7">
        <v>37100.0</v>
      </c>
      <c r="E343" s="7">
        <v>43.0</v>
      </c>
    </row>
    <row r="344">
      <c r="A344" s="10">
        <v>45853.0</v>
      </c>
      <c r="B344" s="7">
        <v>11800.0</v>
      </c>
      <c r="C344" s="7">
        <v>800.0</v>
      </c>
      <c r="D344" s="7">
        <v>25900.0</v>
      </c>
      <c r="E344" s="7">
        <v>46.0</v>
      </c>
    </row>
    <row r="345">
      <c r="A345" s="10">
        <v>45854.0</v>
      </c>
      <c r="B345" s="7">
        <v>3000.0</v>
      </c>
      <c r="C345" s="7">
        <v>3000.0</v>
      </c>
      <c r="D345" s="7">
        <v>37400.0</v>
      </c>
      <c r="E345" s="7">
        <v>145.0</v>
      </c>
    </row>
    <row r="346">
      <c r="A346" s="10">
        <v>45855.0</v>
      </c>
      <c r="B346" s="7">
        <v>11700.0</v>
      </c>
      <c r="C346" s="7">
        <v>800.0</v>
      </c>
      <c r="D346" s="7">
        <v>32900.0</v>
      </c>
      <c r="E346" s="7">
        <v>53.0</v>
      </c>
    </row>
    <row r="347">
      <c r="A347" s="10">
        <v>45856.0</v>
      </c>
      <c r="B347" s="7">
        <v>12000.0</v>
      </c>
      <c r="C347" s="7">
        <v>3000.0</v>
      </c>
      <c r="D347" s="7">
        <v>20300.0</v>
      </c>
      <c r="E347" s="7">
        <v>35.0</v>
      </c>
    </row>
    <row r="348">
      <c r="A348" s="10">
        <v>45857.0</v>
      </c>
      <c r="B348" s="7">
        <v>11700.0</v>
      </c>
      <c r="C348" s="7">
        <v>3000.0</v>
      </c>
      <c r="D348" s="7">
        <v>22400.0</v>
      </c>
      <c r="E348" s="7">
        <v>31.0</v>
      </c>
    </row>
    <row r="349">
      <c r="A349" s="10">
        <v>45858.0</v>
      </c>
      <c r="B349" s="7">
        <v>8500.0</v>
      </c>
      <c r="C349" s="7">
        <v>3000.0</v>
      </c>
      <c r="D349" s="7">
        <v>14200.0</v>
      </c>
      <c r="E349" s="7">
        <v>26.0</v>
      </c>
    </row>
    <row r="350">
      <c r="A350" s="10">
        <v>45859.0</v>
      </c>
      <c r="B350" s="7">
        <v>11800.0</v>
      </c>
      <c r="C350" s="7">
        <v>3000.0</v>
      </c>
      <c r="D350" s="7">
        <v>22400.0</v>
      </c>
      <c r="E350" s="7">
        <v>46.0</v>
      </c>
    </row>
    <row r="351">
      <c r="A351" s="10">
        <v>45860.0</v>
      </c>
      <c r="B351" s="7">
        <v>11700.0</v>
      </c>
      <c r="C351" s="7">
        <v>3000.0</v>
      </c>
      <c r="D351" s="7">
        <v>22400.0</v>
      </c>
      <c r="E351" s="7">
        <v>43.0</v>
      </c>
    </row>
    <row r="352">
      <c r="A352" s="10">
        <v>45861.0</v>
      </c>
      <c r="B352" s="7">
        <v>11700.0</v>
      </c>
      <c r="C352" s="7">
        <v>2600.0</v>
      </c>
      <c r="D352" s="7">
        <v>62200.0</v>
      </c>
      <c r="E352" s="7">
        <v>51.0</v>
      </c>
    </row>
    <row r="353">
      <c r="A353" s="10">
        <v>45862.0</v>
      </c>
      <c r="B353" s="7">
        <v>11800.0</v>
      </c>
      <c r="C353" s="7">
        <v>3000.0</v>
      </c>
      <c r="D353" s="7">
        <v>17400.0</v>
      </c>
      <c r="E353" s="7">
        <v>54.0</v>
      </c>
    </row>
    <row r="354">
      <c r="A354" s="10">
        <v>45863.0</v>
      </c>
      <c r="B354" s="7">
        <v>9800.0</v>
      </c>
      <c r="C354" s="7">
        <v>800.0</v>
      </c>
      <c r="D354" s="7">
        <v>23800.0</v>
      </c>
      <c r="E354" s="7">
        <v>29.0</v>
      </c>
    </row>
    <row r="355">
      <c r="A355" s="10">
        <v>45864.0</v>
      </c>
      <c r="B355" s="7">
        <v>9000.0</v>
      </c>
      <c r="C355" s="7">
        <v>3000.0</v>
      </c>
      <c r="D355" s="7">
        <v>22200.0</v>
      </c>
      <c r="E355" s="7">
        <v>27.0</v>
      </c>
    </row>
    <row r="356">
      <c r="A356" s="10">
        <v>45865.0</v>
      </c>
      <c r="B356" s="7">
        <v>9800.0</v>
      </c>
      <c r="C356" s="7">
        <v>2100.0</v>
      </c>
      <c r="D356" s="7">
        <v>13800.0</v>
      </c>
      <c r="E356" s="7">
        <v>27.0</v>
      </c>
    </row>
    <row r="357">
      <c r="A357" s="10">
        <v>45866.0</v>
      </c>
      <c r="B357" s="7">
        <v>11150.0</v>
      </c>
      <c r="C357" s="7">
        <v>3000.0</v>
      </c>
      <c r="D357" s="7">
        <v>20000.0</v>
      </c>
      <c r="E357" s="7">
        <v>28.0</v>
      </c>
    </row>
    <row r="358">
      <c r="A358" s="10">
        <v>45867.0</v>
      </c>
      <c r="B358" s="7">
        <v>11150.0</v>
      </c>
      <c r="C358" s="7">
        <v>3000.0</v>
      </c>
      <c r="D358" s="7">
        <v>16900.0</v>
      </c>
      <c r="E358" s="7">
        <v>36.0</v>
      </c>
    </row>
    <row r="359">
      <c r="A359" s="10">
        <v>45868.0</v>
      </c>
      <c r="B359" s="7">
        <v>10600.0</v>
      </c>
      <c r="C359" s="7">
        <v>800.0</v>
      </c>
      <c r="D359" s="7">
        <v>24500.0</v>
      </c>
      <c r="E359" s="7">
        <v>33.0</v>
      </c>
    </row>
    <row r="360">
      <c r="A360" s="10">
        <v>45869.0</v>
      </c>
      <c r="B360" s="7">
        <v>10600.0</v>
      </c>
      <c r="C360" s="7">
        <v>5800.0</v>
      </c>
      <c r="D360" s="7">
        <v>15800.0</v>
      </c>
      <c r="E360" s="7">
        <v>28.0</v>
      </c>
    </row>
    <row r="361">
      <c r="A361" s="10">
        <v>45870.0</v>
      </c>
      <c r="B361" s="7">
        <v>11200.0</v>
      </c>
      <c r="C361" s="7">
        <v>5300.0</v>
      </c>
      <c r="D361" s="7">
        <v>128600.0</v>
      </c>
      <c r="E361" s="7">
        <v>40.0</v>
      </c>
    </row>
    <row r="362">
      <c r="A362" s="10">
        <v>45871.0</v>
      </c>
      <c r="B362" s="7">
        <v>11700.0</v>
      </c>
      <c r="C362" s="7">
        <v>800.0</v>
      </c>
      <c r="D362" s="7">
        <v>15800.0</v>
      </c>
      <c r="E362" s="7">
        <v>13.0</v>
      </c>
    </row>
    <row r="363">
      <c r="A363" s="10">
        <v>45872.0</v>
      </c>
      <c r="B363" s="7">
        <v>10600.0</v>
      </c>
      <c r="C363" s="7">
        <v>3000.0</v>
      </c>
      <c r="D363" s="7">
        <v>20300.0</v>
      </c>
      <c r="E363" s="7">
        <v>38.0</v>
      </c>
    </row>
    <row r="364">
      <c r="A364" s="10">
        <v>45873.0</v>
      </c>
      <c r="B364" s="7">
        <v>13000.0</v>
      </c>
      <c r="C364" s="7">
        <v>800.0</v>
      </c>
      <c r="D364" s="7">
        <v>28700.0</v>
      </c>
      <c r="E364" s="7">
        <v>41.0</v>
      </c>
    </row>
    <row r="365">
      <c r="A365" s="10">
        <v>45874.0</v>
      </c>
      <c r="B365" s="7">
        <v>12000.0</v>
      </c>
      <c r="C365" s="7">
        <v>1500.0</v>
      </c>
      <c r="D365" s="7">
        <v>22400.0</v>
      </c>
      <c r="E365" s="7">
        <v>52.0</v>
      </c>
    </row>
    <row r="366">
      <c r="A366" s="10">
        <v>45875.0</v>
      </c>
      <c r="B366" s="7">
        <v>10600.0</v>
      </c>
      <c r="C366" s="7">
        <v>3000.0</v>
      </c>
      <c r="D366" s="7">
        <v>18200.0</v>
      </c>
      <c r="E366" s="7">
        <v>37.0</v>
      </c>
    </row>
    <row r="367">
      <c r="A367" s="10">
        <v>45876.0</v>
      </c>
      <c r="B367" s="7">
        <v>11750.0</v>
      </c>
      <c r="C367" s="7">
        <v>3000.0</v>
      </c>
      <c r="D367" s="7">
        <v>18200.0</v>
      </c>
      <c r="E367" s="7">
        <v>38.0</v>
      </c>
    </row>
    <row r="368">
      <c r="A368" s="10">
        <v>45877.0</v>
      </c>
      <c r="B368" s="7">
        <v>11200.0</v>
      </c>
      <c r="C368" s="7">
        <v>3000.0</v>
      </c>
      <c r="D368" s="7">
        <v>16900.0</v>
      </c>
      <c r="E368" s="7">
        <v>32.0</v>
      </c>
    </row>
    <row r="369">
      <c r="A369" s="10">
        <v>45878.0</v>
      </c>
      <c r="B369" s="7">
        <v>11700.0</v>
      </c>
      <c r="C369" s="7">
        <v>2000.0</v>
      </c>
      <c r="D369" s="7">
        <v>22400.0</v>
      </c>
      <c r="E369" s="7">
        <v>29.0</v>
      </c>
    </row>
    <row r="370">
      <c r="A370" s="10">
        <v>45879.0</v>
      </c>
      <c r="B370" s="7">
        <v>9000.0</v>
      </c>
      <c r="C370" s="7">
        <v>3000.0</v>
      </c>
      <c r="D370" s="7">
        <v>22400.0</v>
      </c>
      <c r="E370" s="7">
        <v>38.0</v>
      </c>
    </row>
    <row r="371">
      <c r="A371" s="10">
        <v>45880.0</v>
      </c>
      <c r="B371" s="7">
        <v>9800.0</v>
      </c>
      <c r="C371" s="7">
        <v>300.0</v>
      </c>
      <c r="D371" s="7">
        <v>25900.0</v>
      </c>
      <c r="E371" s="7">
        <v>47.0</v>
      </c>
    </row>
    <row r="372">
      <c r="A372" s="10">
        <v>45881.0</v>
      </c>
      <c r="B372" s="7">
        <v>10000.0</v>
      </c>
      <c r="C372" s="7">
        <v>1200.0</v>
      </c>
      <c r="D372" s="7">
        <v>37100.0</v>
      </c>
      <c r="E372" s="7">
        <v>41.0</v>
      </c>
    </row>
    <row r="373">
      <c r="A373" s="10">
        <v>45882.0</v>
      </c>
      <c r="B373" s="7">
        <v>11800.0</v>
      </c>
      <c r="C373" s="7">
        <v>3000.0</v>
      </c>
      <c r="D373" s="7">
        <v>22400.0</v>
      </c>
      <c r="E373" s="7">
        <v>38.0</v>
      </c>
    </row>
    <row r="374">
      <c r="A374" s="10">
        <v>45883.0</v>
      </c>
      <c r="B374" s="7">
        <v>11700.0</v>
      </c>
      <c r="C374" s="7">
        <v>3000.0</v>
      </c>
      <c r="D374" s="7">
        <v>15000.0</v>
      </c>
      <c r="E374" s="7">
        <v>37.0</v>
      </c>
    </row>
    <row r="375">
      <c r="A375" s="10">
        <v>45884.0</v>
      </c>
      <c r="B375" s="7">
        <v>12000.0</v>
      </c>
      <c r="C375" s="7">
        <v>3000.0</v>
      </c>
      <c r="D375" s="7">
        <v>38500.0</v>
      </c>
      <c r="E375" s="7">
        <v>34.0</v>
      </c>
    </row>
    <row r="376">
      <c r="A376" s="10">
        <v>45885.0</v>
      </c>
      <c r="B376" s="7">
        <v>13000.0</v>
      </c>
      <c r="C376" s="7">
        <v>8000.0</v>
      </c>
      <c r="D376" s="7">
        <v>22400.0</v>
      </c>
      <c r="E376" s="7">
        <v>28.0</v>
      </c>
    </row>
    <row r="377">
      <c r="A377" s="10">
        <v>45886.0</v>
      </c>
      <c r="B377" s="7">
        <v>9800.0</v>
      </c>
      <c r="C377" s="7">
        <v>3000.0</v>
      </c>
      <c r="D377" s="7">
        <v>22100.0</v>
      </c>
      <c r="E377" s="7">
        <v>36.0</v>
      </c>
    </row>
    <row r="378">
      <c r="A378" s="10">
        <v>45887.0</v>
      </c>
      <c r="B378" s="7">
        <v>10600.0</v>
      </c>
      <c r="C378" s="7">
        <v>800.0</v>
      </c>
      <c r="D378" s="7">
        <v>24500.0</v>
      </c>
      <c r="E378" s="7">
        <v>55.0</v>
      </c>
    </row>
    <row r="379">
      <c r="A379" s="10">
        <v>45888.0</v>
      </c>
      <c r="B379" s="7">
        <v>9800.0</v>
      </c>
      <c r="C379" s="7">
        <v>3000.0</v>
      </c>
      <c r="D379" s="7">
        <v>21500.0</v>
      </c>
      <c r="E379" s="7">
        <v>47.0</v>
      </c>
    </row>
    <row r="380">
      <c r="A380" s="10">
        <v>45889.0</v>
      </c>
      <c r="B380" s="7">
        <v>11700.0</v>
      </c>
      <c r="C380" s="7">
        <v>3000.0</v>
      </c>
      <c r="D380" s="7">
        <v>15600.0</v>
      </c>
      <c r="E380" s="7">
        <v>38.0</v>
      </c>
    </row>
    <row r="381">
      <c r="A381" s="10">
        <v>45890.0</v>
      </c>
      <c r="B381" s="7">
        <v>10600.0</v>
      </c>
      <c r="C381" s="7">
        <v>1300.0</v>
      </c>
      <c r="D381" s="7">
        <v>18200.0</v>
      </c>
      <c r="E381" s="7">
        <v>41.0</v>
      </c>
    </row>
    <row r="382">
      <c r="A382" s="10">
        <v>45891.0</v>
      </c>
      <c r="B382" s="7">
        <v>12000.0</v>
      </c>
      <c r="C382" s="7">
        <v>3000.0</v>
      </c>
      <c r="D382" s="7">
        <v>22400.0</v>
      </c>
      <c r="E382" s="7">
        <v>39.0</v>
      </c>
    </row>
    <row r="383">
      <c r="A383" s="10">
        <v>45892.0</v>
      </c>
      <c r="B383" s="7">
        <v>10600.0</v>
      </c>
      <c r="C383" s="7">
        <v>1300.0</v>
      </c>
      <c r="D383" s="7">
        <v>15000.0</v>
      </c>
      <c r="E383" s="7">
        <v>39.0</v>
      </c>
    </row>
    <row r="384">
      <c r="A384" s="10">
        <v>45893.0</v>
      </c>
      <c r="B384" s="7">
        <v>11700.0</v>
      </c>
      <c r="C384" s="7">
        <v>3000.0</v>
      </c>
      <c r="D384" s="7">
        <v>20300.0</v>
      </c>
      <c r="E384" s="7">
        <v>32.0</v>
      </c>
    </row>
    <row r="385">
      <c r="A385" s="10">
        <v>45894.0</v>
      </c>
      <c r="B385" s="7">
        <v>11700.0</v>
      </c>
      <c r="C385" s="7">
        <v>1900.0</v>
      </c>
      <c r="D385" s="7">
        <v>22400.0</v>
      </c>
      <c r="E385" s="7">
        <v>40.0</v>
      </c>
    </row>
    <row r="386">
      <c r="A386" s="10">
        <v>45895.0</v>
      </c>
      <c r="B386" s="7">
        <v>11200.0</v>
      </c>
      <c r="C386" s="7">
        <v>3200.0</v>
      </c>
      <c r="D386" s="7">
        <v>23800.0</v>
      </c>
      <c r="E386" s="7">
        <v>36.0</v>
      </c>
    </row>
    <row r="387">
      <c r="A387" s="10">
        <v>45896.0</v>
      </c>
      <c r="B387" s="7">
        <v>11700.0</v>
      </c>
      <c r="C387" s="7">
        <v>800.0</v>
      </c>
      <c r="D387" s="7">
        <v>22400.0</v>
      </c>
      <c r="E387" s="7">
        <v>53.0</v>
      </c>
    </row>
    <row r="388">
      <c r="A388" s="10">
        <v>45897.0</v>
      </c>
      <c r="B388" s="7">
        <v>11700.0</v>
      </c>
      <c r="C388" s="7">
        <v>3000.0</v>
      </c>
      <c r="D388" s="7">
        <v>22400.0</v>
      </c>
      <c r="E388" s="7">
        <v>41.0</v>
      </c>
    </row>
    <row r="389">
      <c r="A389" s="10">
        <v>45898.0</v>
      </c>
      <c r="B389" s="7">
        <v>11700.0</v>
      </c>
      <c r="C389" s="7">
        <v>3000.0</v>
      </c>
      <c r="D389" s="7">
        <v>47000.0</v>
      </c>
      <c r="E389" s="7">
        <v>54.0</v>
      </c>
    </row>
    <row r="390">
      <c r="A390" s="10">
        <v>45899.0</v>
      </c>
      <c r="B390" s="7">
        <v>10600.0</v>
      </c>
      <c r="C390" s="7">
        <v>6000.0</v>
      </c>
      <c r="D390" s="7">
        <v>17400.0</v>
      </c>
      <c r="E390" s="7">
        <v>25.0</v>
      </c>
    </row>
    <row r="391">
      <c r="A391" s="10">
        <v>45900.0</v>
      </c>
      <c r="B391" s="7">
        <v>10600.0</v>
      </c>
      <c r="C391" s="7">
        <v>2800.0</v>
      </c>
      <c r="D391" s="7">
        <v>16600.0</v>
      </c>
      <c r="E391" s="7">
        <v>40.0</v>
      </c>
    </row>
    <row r="392">
      <c r="A392" s="10">
        <v>45901.0</v>
      </c>
      <c r="B392" s="7">
        <v>10600.0</v>
      </c>
      <c r="C392" s="7">
        <v>700.0</v>
      </c>
      <c r="D392" s="7">
        <v>16400.0</v>
      </c>
      <c r="E392" s="7">
        <v>48.0</v>
      </c>
    </row>
    <row r="393">
      <c r="A393" s="10">
        <v>45902.0</v>
      </c>
      <c r="B393" s="7">
        <v>9800.0</v>
      </c>
      <c r="C393" s="7">
        <v>3000.0</v>
      </c>
      <c r="D393" s="7">
        <v>16400.0</v>
      </c>
      <c r="E393" s="7">
        <v>53.0</v>
      </c>
    </row>
    <row r="394">
      <c r="A394" s="10">
        <v>45903.0</v>
      </c>
      <c r="B394" s="7">
        <v>10600.0</v>
      </c>
      <c r="C394" s="7">
        <v>7000.0</v>
      </c>
      <c r="D394" s="7">
        <v>15000.0</v>
      </c>
      <c r="E394" s="7">
        <v>36.0</v>
      </c>
    </row>
    <row r="395">
      <c r="A395" s="10">
        <v>45904.0</v>
      </c>
      <c r="B395" s="7">
        <v>11700.0</v>
      </c>
      <c r="C395" s="7">
        <v>800.0</v>
      </c>
      <c r="D395" s="7">
        <v>30100.0</v>
      </c>
      <c r="E395" s="7">
        <v>47.0</v>
      </c>
    </row>
    <row r="396">
      <c r="A396" s="10">
        <v>45905.0</v>
      </c>
      <c r="B396" s="7">
        <v>9300.0</v>
      </c>
      <c r="C396" s="7">
        <v>800.0</v>
      </c>
      <c r="D396" s="7">
        <v>22400.0</v>
      </c>
      <c r="E396" s="7">
        <v>46.0</v>
      </c>
    </row>
    <row r="397">
      <c r="A397" s="10">
        <v>45906.0</v>
      </c>
      <c r="B397" s="7">
        <v>9700.0</v>
      </c>
      <c r="C397" s="7">
        <v>7000.0</v>
      </c>
      <c r="D397" s="7">
        <v>17100.0</v>
      </c>
      <c r="E397" s="7">
        <v>24.0</v>
      </c>
    </row>
    <row r="398">
      <c r="A398" s="10">
        <v>45907.0</v>
      </c>
      <c r="B398" s="7">
        <v>11200.0</v>
      </c>
      <c r="C398" s="7">
        <v>3000.0</v>
      </c>
      <c r="D398" s="7">
        <v>18200.0</v>
      </c>
      <c r="E398" s="7">
        <v>34.0</v>
      </c>
    </row>
    <row r="399">
      <c r="A399" s="10">
        <v>45908.0</v>
      </c>
      <c r="B399" s="7">
        <v>11700.0</v>
      </c>
      <c r="C399" s="7">
        <v>800.0</v>
      </c>
      <c r="D399" s="7">
        <v>22400.0</v>
      </c>
      <c r="E399" s="7">
        <v>54.0</v>
      </c>
    </row>
    <row r="400">
      <c r="A400" s="10">
        <v>45909.0</v>
      </c>
      <c r="B400" s="7">
        <v>10700.0</v>
      </c>
      <c r="C400" s="7">
        <v>3000.0</v>
      </c>
      <c r="D400" s="7">
        <v>25900.0</v>
      </c>
      <c r="E400" s="7">
        <v>39.0</v>
      </c>
    </row>
    <row r="401">
      <c r="A401" s="10">
        <v>45910.0</v>
      </c>
      <c r="B401" s="7">
        <v>11150.0</v>
      </c>
      <c r="C401" s="7">
        <v>3000.0</v>
      </c>
      <c r="D401" s="7">
        <v>22400.0</v>
      </c>
      <c r="E401" s="7">
        <v>58.0</v>
      </c>
    </row>
    <row r="402">
      <c r="A402" s="10">
        <v>45911.0</v>
      </c>
      <c r="B402" s="7">
        <v>10700.0</v>
      </c>
      <c r="C402" s="7">
        <v>2400.0</v>
      </c>
      <c r="D402" s="7">
        <v>15600.0</v>
      </c>
      <c r="E402" s="7">
        <v>43.0</v>
      </c>
    </row>
    <row r="403">
      <c r="A403" s="10">
        <v>45912.0</v>
      </c>
      <c r="B403" s="7">
        <v>10600.0</v>
      </c>
      <c r="C403" s="7">
        <v>3000.0</v>
      </c>
      <c r="D403" s="7">
        <v>22400.0</v>
      </c>
      <c r="E403" s="7">
        <v>45.0</v>
      </c>
    </row>
    <row r="404">
      <c r="A404" s="10">
        <v>45913.0</v>
      </c>
      <c r="B404" s="7">
        <v>9700.0</v>
      </c>
      <c r="C404" s="7">
        <v>3000.0</v>
      </c>
      <c r="D404" s="7">
        <v>13000.0</v>
      </c>
      <c r="E404" s="7">
        <v>30.0</v>
      </c>
    </row>
    <row r="405">
      <c r="A405" s="10">
        <v>45914.0</v>
      </c>
      <c r="B405" s="7">
        <v>10600.0</v>
      </c>
      <c r="C405" s="7">
        <v>300.0</v>
      </c>
      <c r="D405" s="7">
        <v>15800.0</v>
      </c>
      <c r="E405" s="7">
        <v>44.0</v>
      </c>
    </row>
    <row r="406">
      <c r="A406" s="10">
        <v>45915.0</v>
      </c>
      <c r="B406" s="7">
        <v>9800.0</v>
      </c>
      <c r="C406" s="7">
        <v>3000.0</v>
      </c>
      <c r="D406" s="7">
        <v>15300.0</v>
      </c>
      <c r="E406" s="7">
        <v>41.0</v>
      </c>
    </row>
    <row r="407">
      <c r="A407" s="10">
        <v>45916.0</v>
      </c>
      <c r="B407" s="7">
        <v>10600.0</v>
      </c>
      <c r="C407" s="7">
        <v>7000.0</v>
      </c>
      <c r="D407" s="7">
        <v>20200.0</v>
      </c>
      <c r="E407" s="7">
        <v>44.0</v>
      </c>
    </row>
    <row r="408">
      <c r="A408" s="10">
        <v>45917.0</v>
      </c>
      <c r="B408" s="7">
        <v>10200.0</v>
      </c>
      <c r="C408" s="7">
        <v>3000.0</v>
      </c>
      <c r="D408" s="7">
        <v>22400.0</v>
      </c>
      <c r="E408" s="7">
        <v>50.0</v>
      </c>
    </row>
    <row r="409">
      <c r="A409" s="10">
        <v>45918.0</v>
      </c>
      <c r="B409" s="7">
        <v>9800.0</v>
      </c>
      <c r="C409" s="7">
        <v>3000.0</v>
      </c>
      <c r="D409" s="7">
        <v>30100.0</v>
      </c>
      <c r="E409" s="7">
        <v>41.0</v>
      </c>
    </row>
    <row r="410">
      <c r="A410" s="10">
        <v>45919.0</v>
      </c>
      <c r="B410" s="7">
        <v>9800.0</v>
      </c>
      <c r="C410" s="7">
        <v>1100.0</v>
      </c>
      <c r="D410" s="7">
        <v>22400.0</v>
      </c>
      <c r="E410" s="7">
        <v>33.0</v>
      </c>
    </row>
    <row r="411">
      <c r="A411" s="10">
        <v>45920.0</v>
      </c>
      <c r="B411" s="7">
        <v>9800.0</v>
      </c>
      <c r="C411" s="7">
        <v>3000.0</v>
      </c>
      <c r="D411" s="7">
        <v>22400.0</v>
      </c>
      <c r="E411" s="7">
        <v>26.0</v>
      </c>
    </row>
    <row r="412">
      <c r="A412" s="10">
        <v>45921.0</v>
      </c>
      <c r="B412" s="7">
        <v>10600.0</v>
      </c>
      <c r="C412" s="7">
        <v>3000.0</v>
      </c>
      <c r="D412" s="7">
        <v>29700.0</v>
      </c>
      <c r="E412" s="7">
        <v>50.0</v>
      </c>
    </row>
    <row r="413">
      <c r="A413" s="10">
        <v>45922.0</v>
      </c>
      <c r="B413" s="7">
        <v>9800.0</v>
      </c>
      <c r="C413" s="7">
        <v>800.0</v>
      </c>
      <c r="D413" s="7">
        <v>22400.0</v>
      </c>
      <c r="E413" s="7">
        <v>49.0</v>
      </c>
    </row>
    <row r="414">
      <c r="A414" s="10">
        <v>45923.0</v>
      </c>
      <c r="B414" s="7">
        <v>9000.0</v>
      </c>
      <c r="C414" s="7">
        <v>700.0</v>
      </c>
      <c r="D414" s="7">
        <v>22400.0</v>
      </c>
      <c r="E414" s="7">
        <v>40.0</v>
      </c>
    </row>
    <row r="415">
      <c r="A415" s="10">
        <v>45924.0</v>
      </c>
      <c r="B415" s="7">
        <v>11200.0</v>
      </c>
      <c r="C415" s="7">
        <v>3000.0</v>
      </c>
      <c r="D415" s="7">
        <v>22400.0</v>
      </c>
      <c r="E415" s="7">
        <v>36.0</v>
      </c>
    </row>
    <row r="416">
      <c r="A416" s="10">
        <v>45925.0</v>
      </c>
      <c r="B416" s="7">
        <v>9800.0</v>
      </c>
      <c r="C416" s="7">
        <v>3000.0</v>
      </c>
      <c r="D416" s="7">
        <v>15800.0</v>
      </c>
      <c r="E416" s="7">
        <v>45.0</v>
      </c>
    </row>
    <row r="417">
      <c r="A417" s="10">
        <v>45926.0</v>
      </c>
      <c r="B417" s="7">
        <v>11150.0</v>
      </c>
      <c r="C417" s="7">
        <v>300.0</v>
      </c>
      <c r="D417" s="7">
        <v>32900.0</v>
      </c>
      <c r="E417" s="7">
        <v>32.0</v>
      </c>
    </row>
    <row r="418">
      <c r="A418" s="10">
        <v>45927.0</v>
      </c>
      <c r="B418" s="7">
        <v>8950.0</v>
      </c>
      <c r="C418" s="7">
        <v>800.0</v>
      </c>
      <c r="D418" s="7">
        <v>15600.0</v>
      </c>
      <c r="E418" s="7">
        <v>26.0</v>
      </c>
    </row>
    <row r="419">
      <c r="A419" s="10">
        <v>45928.0</v>
      </c>
      <c r="B419" s="7">
        <v>9800.0</v>
      </c>
      <c r="C419" s="7">
        <v>4000.0</v>
      </c>
      <c r="D419" s="7">
        <v>22400.0</v>
      </c>
      <c r="E419" s="7">
        <v>30.0</v>
      </c>
    </row>
    <row r="420">
      <c r="A420" s="10">
        <v>45929.0</v>
      </c>
      <c r="B420" s="7">
        <v>9700.0</v>
      </c>
      <c r="C420" s="7">
        <v>7000.0</v>
      </c>
      <c r="D420" s="7">
        <v>44800.0</v>
      </c>
      <c r="E420" s="7">
        <v>40.0</v>
      </c>
    </row>
    <row r="421">
      <c r="A421" s="10">
        <v>45930.0</v>
      </c>
      <c r="B421" s="7">
        <v>9800.0</v>
      </c>
      <c r="C421" s="7">
        <v>700.0</v>
      </c>
      <c r="D421" s="7">
        <v>19000.0</v>
      </c>
      <c r="E421" s="7">
        <v>39.0</v>
      </c>
    </row>
    <row r="422">
      <c r="A422" s="10">
        <v>45931.0</v>
      </c>
      <c r="B422" s="7">
        <v>9800.0</v>
      </c>
      <c r="C422" s="7">
        <v>3000.0</v>
      </c>
      <c r="D422" s="7">
        <v>15000.0</v>
      </c>
      <c r="E422" s="7">
        <v>28.0</v>
      </c>
    </row>
    <row r="423">
      <c r="A423" s="10">
        <v>45932.0</v>
      </c>
      <c r="B423" s="7">
        <v>9800.0</v>
      </c>
      <c r="C423" s="7">
        <v>5800.0</v>
      </c>
      <c r="D423" s="7">
        <v>22400.0</v>
      </c>
      <c r="E423" s="7">
        <v>31.0</v>
      </c>
    </row>
    <row r="424">
      <c r="A424" s="10">
        <v>45933.0</v>
      </c>
      <c r="B424" s="7">
        <v>10600.0</v>
      </c>
      <c r="C424" s="7">
        <v>7000.0</v>
      </c>
      <c r="D424" s="7">
        <v>13900.0</v>
      </c>
      <c r="E424" s="7">
        <v>27.0</v>
      </c>
    </row>
    <row r="425">
      <c r="A425" s="10">
        <v>45934.0</v>
      </c>
      <c r="B425" s="7">
        <v>9800.0</v>
      </c>
      <c r="C425" s="7">
        <v>5300.0</v>
      </c>
      <c r="D425" s="7">
        <v>34300.0</v>
      </c>
      <c r="E425" s="7">
        <v>23.0</v>
      </c>
    </row>
    <row r="426">
      <c r="A426" s="10">
        <v>45935.0</v>
      </c>
      <c r="B426" s="7">
        <v>10200.0</v>
      </c>
      <c r="C426" s="7">
        <v>3000.0</v>
      </c>
      <c r="D426" s="7">
        <v>22400.0</v>
      </c>
      <c r="E426" s="7">
        <v>34.0</v>
      </c>
    </row>
    <row r="427">
      <c r="A427" s="10">
        <v>45936.0</v>
      </c>
      <c r="B427" s="7">
        <v>10600.0</v>
      </c>
      <c r="C427" s="7">
        <v>5300.0</v>
      </c>
      <c r="D427" s="7">
        <v>15700.0</v>
      </c>
      <c r="E427" s="7">
        <v>44.0</v>
      </c>
    </row>
    <row r="428">
      <c r="A428" s="10">
        <v>45937.0</v>
      </c>
      <c r="B428" s="7">
        <v>9800.0</v>
      </c>
      <c r="C428" s="7">
        <v>2200.0</v>
      </c>
      <c r="D428" s="7">
        <v>18200.0</v>
      </c>
      <c r="E428" s="7">
        <v>39.0</v>
      </c>
    </row>
    <row r="429">
      <c r="A429" s="10">
        <v>45938.0</v>
      </c>
      <c r="B429" s="7">
        <v>9800.0</v>
      </c>
      <c r="C429" s="7">
        <v>800.0</v>
      </c>
      <c r="D429" s="7">
        <v>27100.0</v>
      </c>
      <c r="E429" s="7">
        <v>37.0</v>
      </c>
    </row>
    <row r="430">
      <c r="A430" s="10">
        <v>45939.0</v>
      </c>
      <c r="B430" s="7">
        <v>10250.0</v>
      </c>
      <c r="C430" s="7">
        <v>5800.0</v>
      </c>
      <c r="D430" s="7">
        <v>21400.0</v>
      </c>
      <c r="E430" s="7">
        <v>26.0</v>
      </c>
    </row>
    <row r="431">
      <c r="A431" s="10">
        <v>45940.0</v>
      </c>
      <c r="B431" s="7">
        <v>8100.0</v>
      </c>
      <c r="C431" s="7">
        <v>1600.0</v>
      </c>
      <c r="D431" s="7">
        <v>16900.0</v>
      </c>
      <c r="E431" s="7">
        <v>43.0</v>
      </c>
    </row>
    <row r="432">
      <c r="A432" s="10">
        <v>45941.0</v>
      </c>
      <c r="B432" s="7">
        <v>11250.0</v>
      </c>
      <c r="C432" s="7">
        <v>4000.0</v>
      </c>
      <c r="D432" s="7">
        <v>21500.0</v>
      </c>
      <c r="E432" s="7">
        <v>22.0</v>
      </c>
    </row>
    <row r="433">
      <c r="A433" s="10">
        <v>45942.0</v>
      </c>
      <c r="B433" s="7">
        <v>9800.0</v>
      </c>
      <c r="C433" s="7">
        <v>4050.0</v>
      </c>
      <c r="D433" s="7">
        <v>23400.0</v>
      </c>
      <c r="E433" s="7">
        <v>35.0</v>
      </c>
    </row>
    <row r="434">
      <c r="A434" s="10">
        <v>45943.0</v>
      </c>
      <c r="B434" s="7">
        <v>9800.0</v>
      </c>
      <c r="C434" s="7">
        <v>4000.0</v>
      </c>
      <c r="D434" s="7">
        <v>77500.0</v>
      </c>
      <c r="E434" s="7">
        <v>43.0</v>
      </c>
    </row>
    <row r="435">
      <c r="A435" s="10">
        <v>45944.0</v>
      </c>
      <c r="B435" s="7">
        <v>9000.0</v>
      </c>
      <c r="C435" s="7">
        <v>5800.0</v>
      </c>
      <c r="D435" s="7">
        <v>13500.0</v>
      </c>
      <c r="E435" s="7">
        <v>34.0</v>
      </c>
    </row>
    <row r="436">
      <c r="A436" s="10">
        <v>45945.0</v>
      </c>
      <c r="B436" s="7">
        <v>10200.0</v>
      </c>
      <c r="C436" s="7">
        <v>6300.0</v>
      </c>
      <c r="D436" s="7">
        <v>20600.0</v>
      </c>
      <c r="E436" s="7">
        <v>36.0</v>
      </c>
    </row>
    <row r="437">
      <c r="A437" s="10">
        <v>45946.0</v>
      </c>
      <c r="B437" s="7">
        <v>11700.0</v>
      </c>
      <c r="C437" s="7">
        <v>7000.0</v>
      </c>
      <c r="D437" s="7">
        <v>22400.0</v>
      </c>
      <c r="E437" s="7">
        <v>21.0</v>
      </c>
    </row>
    <row r="438">
      <c r="A438" s="10">
        <v>45947.0</v>
      </c>
      <c r="B438" s="7">
        <v>10600.0</v>
      </c>
      <c r="C438" s="7">
        <v>4000.0</v>
      </c>
      <c r="D438" s="7">
        <v>24500.0</v>
      </c>
      <c r="E438" s="7">
        <v>21.0</v>
      </c>
    </row>
    <row r="439">
      <c r="A439" s="10">
        <v>45948.0</v>
      </c>
      <c r="B439" s="7">
        <v>10200.0</v>
      </c>
      <c r="C439" s="7">
        <v>6000.0</v>
      </c>
      <c r="D439" s="7">
        <v>50200.0</v>
      </c>
      <c r="E439" s="7">
        <v>20.0</v>
      </c>
    </row>
    <row r="440">
      <c r="A440" s="10">
        <v>45949.0</v>
      </c>
      <c r="B440" s="7">
        <v>11200.0</v>
      </c>
      <c r="C440" s="7">
        <v>700.0</v>
      </c>
      <c r="D440" s="7">
        <v>22400.0</v>
      </c>
      <c r="E440" s="7">
        <v>36.0</v>
      </c>
    </row>
    <row r="441">
      <c r="A441" s="10">
        <v>45950.0</v>
      </c>
      <c r="B441" s="7">
        <v>9800.0</v>
      </c>
      <c r="C441" s="7">
        <v>6300.0</v>
      </c>
      <c r="D441" s="7">
        <v>17900.0</v>
      </c>
      <c r="E441" s="7">
        <v>37.0</v>
      </c>
    </row>
    <row r="442">
      <c r="A442" s="10">
        <v>45951.0</v>
      </c>
      <c r="B442" s="7">
        <v>9800.0</v>
      </c>
      <c r="C442" s="7">
        <v>6000.0</v>
      </c>
      <c r="D442" s="7">
        <v>13800.0</v>
      </c>
      <c r="E442" s="7">
        <v>42.0</v>
      </c>
    </row>
    <row r="443">
      <c r="A443" s="10">
        <v>45952.0</v>
      </c>
      <c r="B443" s="7">
        <v>9800.0</v>
      </c>
      <c r="C443" s="7">
        <v>6000.0</v>
      </c>
      <c r="D443" s="7">
        <v>21400.0</v>
      </c>
      <c r="E443" s="7">
        <v>44.0</v>
      </c>
    </row>
    <row r="444">
      <c r="A444" s="10">
        <v>45953.0</v>
      </c>
      <c r="B444" s="7">
        <v>10600.0</v>
      </c>
      <c r="C444" s="7">
        <v>6000.0</v>
      </c>
      <c r="D444" s="7">
        <v>16900.0</v>
      </c>
      <c r="E444" s="7">
        <v>44.0</v>
      </c>
    </row>
    <row r="445">
      <c r="A445" s="10">
        <v>45954.0</v>
      </c>
      <c r="B445" s="7">
        <v>9800.0</v>
      </c>
      <c r="C445" s="7">
        <v>900.0</v>
      </c>
      <c r="D445" s="7">
        <v>43000.0</v>
      </c>
      <c r="E445" s="7">
        <v>47.0</v>
      </c>
    </row>
    <row r="446">
      <c r="A446" s="10">
        <v>45955.0</v>
      </c>
      <c r="B446" s="7">
        <v>9800.0</v>
      </c>
      <c r="C446" s="7">
        <v>1000.0</v>
      </c>
      <c r="D446" s="7">
        <v>17900.0</v>
      </c>
      <c r="E446" s="7">
        <v>19.0</v>
      </c>
    </row>
    <row r="447">
      <c r="A447" s="10">
        <v>45956.0</v>
      </c>
      <c r="B447" s="7">
        <v>9800.0</v>
      </c>
      <c r="C447" s="7">
        <v>5300.0</v>
      </c>
      <c r="D447" s="7">
        <v>29700.0</v>
      </c>
      <c r="E447" s="7">
        <v>27.0</v>
      </c>
    </row>
    <row r="448">
      <c r="A448" s="10">
        <v>45957.0</v>
      </c>
      <c r="B448" s="7">
        <v>9800.0</v>
      </c>
      <c r="C448" s="7">
        <v>5800.0</v>
      </c>
      <c r="D448" s="7">
        <v>15600.0</v>
      </c>
      <c r="E448" s="7">
        <v>21.0</v>
      </c>
    </row>
    <row r="449">
      <c r="A449" s="10">
        <v>45958.0</v>
      </c>
      <c r="B449" s="7">
        <v>9800.0</v>
      </c>
      <c r="C449" s="7">
        <v>800.0</v>
      </c>
      <c r="D449" s="7">
        <v>17100.0</v>
      </c>
      <c r="E449" s="7">
        <v>25.0</v>
      </c>
    </row>
    <row r="450">
      <c r="A450" s="10">
        <v>45959.0</v>
      </c>
      <c r="B450" s="7">
        <v>10600.0</v>
      </c>
      <c r="C450" s="7">
        <v>4000.0</v>
      </c>
      <c r="D450" s="7">
        <v>21500.0</v>
      </c>
      <c r="E450" s="7">
        <v>35.0</v>
      </c>
    </row>
    <row r="451">
      <c r="A451" s="10">
        <v>45960.0</v>
      </c>
      <c r="B451" s="7">
        <v>12200.0</v>
      </c>
      <c r="C451" s="7">
        <v>5800.0</v>
      </c>
      <c r="D451" s="7">
        <v>40900.0</v>
      </c>
      <c r="E451" s="7">
        <v>21.0</v>
      </c>
    </row>
    <row r="452">
      <c r="A452" s="10">
        <v>45961.0</v>
      </c>
      <c r="B452" s="7">
        <v>9800.0</v>
      </c>
      <c r="C452" s="7">
        <v>800.0</v>
      </c>
      <c r="D452" s="7">
        <v>39900.0</v>
      </c>
      <c r="E452" s="7">
        <v>27.0</v>
      </c>
    </row>
    <row r="453">
      <c r="A453" s="10">
        <v>45962.0</v>
      </c>
      <c r="B453" s="7">
        <v>12250.0</v>
      </c>
      <c r="C453" s="7">
        <v>6400.0</v>
      </c>
      <c r="D453" s="7">
        <v>20300.0</v>
      </c>
      <c r="E453" s="7">
        <v>24.0</v>
      </c>
    </row>
    <row r="454">
      <c r="A454" s="10">
        <v>45963.0</v>
      </c>
      <c r="B454" s="7">
        <v>10200.0</v>
      </c>
      <c r="C454" s="7">
        <v>6000.0</v>
      </c>
      <c r="D454" s="7">
        <v>32900.0</v>
      </c>
      <c r="E454" s="7">
        <v>20.0</v>
      </c>
    </row>
    <row r="455">
      <c r="A455" s="10">
        <v>45964.0</v>
      </c>
      <c r="B455" s="7">
        <v>9700.0</v>
      </c>
      <c r="C455" s="7">
        <v>6000.0</v>
      </c>
      <c r="D455" s="7">
        <v>22400.0</v>
      </c>
      <c r="E455" s="7">
        <v>22.0</v>
      </c>
    </row>
    <row r="456">
      <c r="A456" s="10">
        <v>45965.0</v>
      </c>
      <c r="B456" s="7">
        <v>9600.0</v>
      </c>
      <c r="C456" s="7">
        <v>5300.0</v>
      </c>
      <c r="D456" s="7">
        <v>15800.0</v>
      </c>
      <c r="E456" s="7">
        <v>38.0</v>
      </c>
    </row>
    <row r="457">
      <c r="A457" s="10">
        <v>45966.0</v>
      </c>
      <c r="B457" s="7">
        <v>9400.0</v>
      </c>
      <c r="C457" s="7">
        <v>6000.0</v>
      </c>
      <c r="D457" s="7">
        <v>24600.0</v>
      </c>
      <c r="E457" s="7">
        <v>26.0</v>
      </c>
    </row>
    <row r="458">
      <c r="A458" s="10">
        <v>45967.0</v>
      </c>
      <c r="B458" s="7">
        <v>10600.0</v>
      </c>
      <c r="C458" s="7">
        <v>5800.0</v>
      </c>
      <c r="D458" s="7">
        <v>20200.0</v>
      </c>
      <c r="E458" s="7">
        <v>22.0</v>
      </c>
    </row>
    <row r="459">
      <c r="A459" s="10">
        <v>45968.0</v>
      </c>
      <c r="B459" s="7">
        <v>9000.0</v>
      </c>
      <c r="C459" s="7">
        <v>4000.0</v>
      </c>
      <c r="D459" s="7">
        <v>22400.0</v>
      </c>
      <c r="E459" s="7">
        <v>29.0</v>
      </c>
    </row>
    <row r="460">
      <c r="A460" s="10">
        <v>45969.0</v>
      </c>
      <c r="B460" s="7">
        <v>8550.0</v>
      </c>
      <c r="C460" s="7">
        <v>8000.0</v>
      </c>
      <c r="D460" s="7">
        <v>14200.0</v>
      </c>
      <c r="E460" s="7">
        <v>8.0</v>
      </c>
    </row>
    <row r="461">
      <c r="A461" s="10">
        <v>45970.0</v>
      </c>
      <c r="B461" s="7">
        <v>9800.0</v>
      </c>
      <c r="C461" s="7">
        <v>5800.0</v>
      </c>
      <c r="D461" s="7">
        <v>24500.0</v>
      </c>
      <c r="E461" s="7">
        <v>24.0</v>
      </c>
    </row>
    <row r="462">
      <c r="A462" s="10">
        <v>45971.0</v>
      </c>
      <c r="B462" s="7">
        <v>8100.0</v>
      </c>
      <c r="C462" s="7">
        <v>800.0</v>
      </c>
      <c r="D462" s="7">
        <v>16900.0</v>
      </c>
      <c r="E462" s="7">
        <v>23.0</v>
      </c>
    </row>
    <row r="463">
      <c r="A463" s="10">
        <v>45972.0</v>
      </c>
      <c r="B463" s="7">
        <v>8900.0</v>
      </c>
      <c r="C463" s="7">
        <v>6000.0</v>
      </c>
      <c r="D463" s="7">
        <v>16600.0</v>
      </c>
      <c r="E463" s="7">
        <v>13.0</v>
      </c>
    </row>
    <row r="464">
      <c r="A464" s="10">
        <v>45973.0</v>
      </c>
      <c r="B464" s="7">
        <v>8100.0</v>
      </c>
      <c r="C464" s="7">
        <v>1000.0</v>
      </c>
      <c r="D464" s="7">
        <v>15800.0</v>
      </c>
      <c r="E464" s="7">
        <v>14.0</v>
      </c>
    </row>
    <row r="465">
      <c r="A465" s="10">
        <v>45974.0</v>
      </c>
      <c r="B465" s="7">
        <v>8050.0</v>
      </c>
      <c r="C465" s="7">
        <v>3200.0</v>
      </c>
      <c r="D465" s="7">
        <v>22400.0</v>
      </c>
      <c r="E465" s="7">
        <v>18.0</v>
      </c>
    </row>
    <row r="466">
      <c r="A466" s="10">
        <v>45975.0</v>
      </c>
      <c r="B466" s="7">
        <v>9000.0</v>
      </c>
      <c r="C466" s="7">
        <v>6000.0</v>
      </c>
      <c r="D466" s="7">
        <v>13000.0</v>
      </c>
      <c r="E466" s="7">
        <v>23.0</v>
      </c>
    </row>
    <row r="467">
      <c r="A467" s="10">
        <v>45976.0</v>
      </c>
      <c r="B467" s="7">
        <v>9800.0</v>
      </c>
      <c r="C467" s="7">
        <v>5300.0</v>
      </c>
      <c r="D467" s="7">
        <v>13000.0</v>
      </c>
      <c r="E467" s="7">
        <v>15.0</v>
      </c>
    </row>
    <row r="468">
      <c r="A468" s="10">
        <v>45977.0</v>
      </c>
      <c r="B468" s="7">
        <v>9600.0</v>
      </c>
      <c r="C468" s="7">
        <v>7000.0</v>
      </c>
      <c r="D468" s="7">
        <v>18300.0</v>
      </c>
      <c r="E468" s="7">
        <v>13.0</v>
      </c>
    </row>
    <row r="469">
      <c r="A469" s="10">
        <v>45978.0</v>
      </c>
      <c r="B469" s="7">
        <v>9000.0</v>
      </c>
      <c r="C469" s="7">
        <v>5300.0</v>
      </c>
      <c r="D469" s="7">
        <v>15600.0</v>
      </c>
      <c r="E469" s="7">
        <v>27.0</v>
      </c>
    </row>
    <row r="470">
      <c r="A470" s="10">
        <v>45979.0</v>
      </c>
      <c r="B470" s="7">
        <v>9000.0</v>
      </c>
      <c r="C470" s="7">
        <v>6000.0</v>
      </c>
      <c r="D470" s="7">
        <v>15000.0</v>
      </c>
      <c r="E470" s="7">
        <v>21.0</v>
      </c>
    </row>
    <row r="471">
      <c r="A471" s="10">
        <v>45980.0</v>
      </c>
      <c r="B471" s="7">
        <v>10200.0</v>
      </c>
      <c r="C471" s="7">
        <v>7000.0</v>
      </c>
      <c r="D471" s="7">
        <v>15600.0</v>
      </c>
      <c r="E471" s="7">
        <v>26.0</v>
      </c>
    </row>
    <row r="472">
      <c r="A472" s="10">
        <v>45981.0</v>
      </c>
      <c r="B472" s="7">
        <v>8000.0</v>
      </c>
      <c r="C472" s="7">
        <v>3000.0</v>
      </c>
      <c r="D472" s="7">
        <v>37200.0</v>
      </c>
      <c r="E472" s="7">
        <v>29.0</v>
      </c>
    </row>
    <row r="473">
      <c r="A473" s="10">
        <v>45982.0</v>
      </c>
      <c r="B473" s="7">
        <v>9000.0</v>
      </c>
      <c r="C473" s="7">
        <v>1200.0</v>
      </c>
      <c r="D473" s="7">
        <v>16900.0</v>
      </c>
      <c r="E473" s="7">
        <v>19.0</v>
      </c>
    </row>
    <row r="474">
      <c r="A474" s="10">
        <v>45983.0</v>
      </c>
      <c r="B474" s="7">
        <v>11850.0</v>
      </c>
      <c r="C474" s="7">
        <v>7000.0</v>
      </c>
      <c r="D474" s="7">
        <v>19000.0</v>
      </c>
      <c r="E474" s="7">
        <v>14.0</v>
      </c>
    </row>
    <row r="475">
      <c r="A475" s="10">
        <v>45984.0</v>
      </c>
      <c r="B475" s="7">
        <v>8900.0</v>
      </c>
      <c r="C475" s="7">
        <v>5300.0</v>
      </c>
      <c r="D475" s="7">
        <v>27300.0</v>
      </c>
      <c r="E475" s="7">
        <v>21.0</v>
      </c>
    </row>
    <row r="476">
      <c r="A476" s="10">
        <v>45985.0</v>
      </c>
      <c r="B476" s="7">
        <v>10700.0</v>
      </c>
      <c r="C476" s="7">
        <v>800.0</v>
      </c>
      <c r="D476" s="7">
        <v>22400.0</v>
      </c>
      <c r="E476" s="7">
        <v>21.0</v>
      </c>
    </row>
    <row r="477">
      <c r="A477" s="10">
        <v>45986.0</v>
      </c>
      <c r="B477" s="7">
        <v>10100.0</v>
      </c>
      <c r="C477" s="7">
        <v>800.0</v>
      </c>
      <c r="D477" s="7">
        <v>32900.0</v>
      </c>
      <c r="E477" s="7">
        <v>24.0</v>
      </c>
    </row>
    <row r="478">
      <c r="A478" s="10">
        <v>45987.0</v>
      </c>
      <c r="B478" s="7">
        <v>11700.0</v>
      </c>
      <c r="C478" s="7">
        <v>2800.0</v>
      </c>
      <c r="D478" s="7">
        <v>25400.0</v>
      </c>
      <c r="E478" s="7">
        <v>17.0</v>
      </c>
    </row>
    <row r="479">
      <c r="A479" s="10">
        <v>45988.0</v>
      </c>
      <c r="B479" s="7">
        <v>9000.0</v>
      </c>
      <c r="C479" s="7">
        <v>800.0</v>
      </c>
      <c r="D479" s="7">
        <v>32900.0</v>
      </c>
      <c r="E479" s="7">
        <v>22.0</v>
      </c>
    </row>
    <row r="480">
      <c r="A480" s="10">
        <v>45989.0</v>
      </c>
      <c r="B480" s="7">
        <v>8050.0</v>
      </c>
      <c r="C480" s="7">
        <v>1200.0</v>
      </c>
      <c r="D480" s="7">
        <v>15600.0</v>
      </c>
      <c r="E480" s="7">
        <v>24.0</v>
      </c>
    </row>
    <row r="481">
      <c r="A481" s="10">
        <v>45990.0</v>
      </c>
      <c r="B481" s="7">
        <v>10600.0</v>
      </c>
      <c r="C481" s="7">
        <v>3000.0</v>
      </c>
      <c r="D481" s="7">
        <v>18200.0</v>
      </c>
      <c r="E481" s="7">
        <v>7.0</v>
      </c>
    </row>
    <row r="482">
      <c r="A482" s="10">
        <v>45991.0</v>
      </c>
      <c r="B482" s="7">
        <v>11700.0</v>
      </c>
      <c r="C482" s="7">
        <v>5800.0</v>
      </c>
      <c r="D482" s="7">
        <v>22400.0</v>
      </c>
      <c r="E482" s="7">
        <v>17.0</v>
      </c>
    </row>
    <row r="483">
      <c r="A483" s="10">
        <v>45992.0</v>
      </c>
      <c r="B483" s="7">
        <v>8900.0</v>
      </c>
      <c r="C483" s="7">
        <v>1200.0</v>
      </c>
      <c r="D483" s="7">
        <v>15300.0</v>
      </c>
      <c r="E483" s="7">
        <v>27.0</v>
      </c>
    </row>
    <row r="484">
      <c r="A484" s="10">
        <v>45993.0</v>
      </c>
      <c r="B484" s="7">
        <v>8550.0</v>
      </c>
      <c r="C484" s="7">
        <v>1000.0</v>
      </c>
      <c r="D484" s="7">
        <v>18200.0</v>
      </c>
      <c r="E484" s="7">
        <v>20.0</v>
      </c>
    </row>
    <row r="485">
      <c r="A485" s="10">
        <v>45994.0</v>
      </c>
      <c r="B485" s="7">
        <v>11700.0</v>
      </c>
      <c r="C485" s="7">
        <v>6000.0</v>
      </c>
      <c r="D485" s="7">
        <v>22100.0</v>
      </c>
      <c r="E485" s="7">
        <v>21.0</v>
      </c>
    </row>
    <row r="486">
      <c r="A486" s="10">
        <v>45995.0</v>
      </c>
      <c r="B486" s="7">
        <v>9600.0</v>
      </c>
      <c r="C486" s="7">
        <v>5800.0</v>
      </c>
      <c r="D486" s="7">
        <v>23600.0</v>
      </c>
      <c r="E486" s="7">
        <v>19.0</v>
      </c>
    </row>
    <row r="487">
      <c r="A487" s="10">
        <v>45996.0</v>
      </c>
      <c r="B487" s="7">
        <v>8100.0</v>
      </c>
      <c r="C487" s="7">
        <v>8000.0</v>
      </c>
      <c r="D487" s="7">
        <v>20200.0</v>
      </c>
      <c r="E487" s="7">
        <v>13.0</v>
      </c>
    </row>
    <row r="488">
      <c r="A488" s="10">
        <v>45997.0</v>
      </c>
      <c r="B488" s="7">
        <v>9800.0</v>
      </c>
      <c r="C488" s="7">
        <v>5300.0</v>
      </c>
      <c r="D488" s="7">
        <v>17900.0</v>
      </c>
      <c r="E488" s="7">
        <v>7.0</v>
      </c>
    </row>
    <row r="489">
      <c r="A489" s="10">
        <v>45998.0</v>
      </c>
      <c r="B489" s="7">
        <v>9800.0</v>
      </c>
      <c r="C489" s="7">
        <v>6000.0</v>
      </c>
      <c r="D489" s="7">
        <v>19000.0</v>
      </c>
      <c r="E489" s="7">
        <v>17.0</v>
      </c>
    </row>
    <row r="490">
      <c r="A490" s="10">
        <v>45999.0</v>
      </c>
      <c r="B490" s="7">
        <v>10700.0</v>
      </c>
      <c r="C490" s="7">
        <v>5800.0</v>
      </c>
      <c r="D490" s="7">
        <v>41300.0</v>
      </c>
      <c r="E490" s="7">
        <v>35.0</v>
      </c>
    </row>
    <row r="491">
      <c r="A491" s="10">
        <v>46000.0</v>
      </c>
      <c r="B491" s="7">
        <v>12500.0</v>
      </c>
      <c r="C491" s="7">
        <v>1000.0</v>
      </c>
      <c r="D491" s="7">
        <v>23800.0</v>
      </c>
      <c r="E491" s="7">
        <v>23.0</v>
      </c>
    </row>
    <row r="492">
      <c r="A492" s="10">
        <v>46001.0</v>
      </c>
      <c r="B492" s="7">
        <v>9000.0</v>
      </c>
      <c r="C492" s="7">
        <v>400.0</v>
      </c>
      <c r="D492" s="7">
        <v>32900.0</v>
      </c>
      <c r="E492" s="7">
        <v>21.0</v>
      </c>
    </row>
    <row r="493">
      <c r="A493" s="10">
        <v>46002.0</v>
      </c>
      <c r="B493" s="7">
        <v>9000.0</v>
      </c>
      <c r="C493" s="7">
        <v>6300.0</v>
      </c>
      <c r="D493" s="7">
        <v>20200.0</v>
      </c>
      <c r="E493" s="7">
        <v>7.0</v>
      </c>
    </row>
    <row r="494">
      <c r="A494" s="10">
        <v>46003.0</v>
      </c>
      <c r="B494" s="7">
        <v>9800.0</v>
      </c>
      <c r="C494" s="7">
        <v>5300.0</v>
      </c>
      <c r="D494" s="7">
        <v>14200.0</v>
      </c>
      <c r="E494" s="7">
        <v>17.0</v>
      </c>
    </row>
    <row r="495">
      <c r="A495" s="10">
        <v>46004.0</v>
      </c>
      <c r="B495" s="7">
        <v>9000.0</v>
      </c>
      <c r="C495" s="7">
        <v>4000.0</v>
      </c>
      <c r="D495" s="7">
        <v>24300.0</v>
      </c>
      <c r="E495" s="7">
        <v>15.0</v>
      </c>
    </row>
    <row r="496">
      <c r="A496" s="10">
        <v>46005.0</v>
      </c>
      <c r="B496" s="7">
        <v>9700.0</v>
      </c>
      <c r="C496" s="7">
        <v>5300.0</v>
      </c>
      <c r="D496" s="7">
        <v>23800.0</v>
      </c>
      <c r="E496" s="7">
        <v>18.0</v>
      </c>
    </row>
    <row r="497">
      <c r="A497" s="10">
        <v>46006.0</v>
      </c>
      <c r="B497" s="7">
        <v>11700.0</v>
      </c>
      <c r="C497" s="7">
        <v>6300.0</v>
      </c>
      <c r="D497" s="7">
        <v>22400.0</v>
      </c>
      <c r="E497" s="7">
        <v>35.0</v>
      </c>
    </row>
    <row r="498">
      <c r="A498" s="10">
        <v>46007.0</v>
      </c>
      <c r="B498" s="7">
        <v>10750.0</v>
      </c>
      <c r="C498" s="7">
        <v>1400.0</v>
      </c>
      <c r="D498" s="7">
        <v>20300.0</v>
      </c>
      <c r="E498" s="7">
        <v>10.0</v>
      </c>
    </row>
    <row r="499">
      <c r="A499" s="10">
        <v>46008.0</v>
      </c>
      <c r="B499" s="7">
        <v>8500.0</v>
      </c>
      <c r="C499" s="7">
        <v>5800.0</v>
      </c>
      <c r="D499" s="7">
        <v>13900.0</v>
      </c>
      <c r="E499" s="7">
        <v>8.0</v>
      </c>
    </row>
    <row r="500">
      <c r="A500" s="10">
        <v>46009.0</v>
      </c>
      <c r="B500" s="7">
        <v>8100.0</v>
      </c>
      <c r="C500" s="7">
        <v>5800.0</v>
      </c>
      <c r="D500" s="7">
        <v>21400.0</v>
      </c>
      <c r="E500" s="7">
        <v>17.0</v>
      </c>
    </row>
    <row r="501">
      <c r="A501" s="10">
        <v>46010.0</v>
      </c>
      <c r="B501" s="7">
        <v>9800.0</v>
      </c>
      <c r="C501" s="7">
        <v>7000.0</v>
      </c>
      <c r="D501" s="7">
        <v>15000.0</v>
      </c>
      <c r="E501" s="7">
        <v>10.0</v>
      </c>
    </row>
    <row r="502">
      <c r="A502" s="10">
        <v>46011.0</v>
      </c>
      <c r="B502" s="7">
        <v>11850.0</v>
      </c>
      <c r="C502" s="7">
        <v>5300.0</v>
      </c>
      <c r="D502" s="7">
        <v>19800.0</v>
      </c>
      <c r="E502" s="7">
        <v>12.0</v>
      </c>
    </row>
    <row r="503">
      <c r="A503" s="10">
        <v>46012.0</v>
      </c>
      <c r="B503" s="7">
        <v>12000.0</v>
      </c>
      <c r="C503" s="7">
        <v>8900.0</v>
      </c>
      <c r="D503" s="7">
        <v>22400.0</v>
      </c>
      <c r="E503" s="7">
        <v>17.0</v>
      </c>
    </row>
    <row r="504">
      <c r="A504" s="10">
        <v>46013.0</v>
      </c>
      <c r="B504" s="7">
        <v>9800.0</v>
      </c>
      <c r="C504" s="7">
        <v>3000.0</v>
      </c>
      <c r="D504" s="7">
        <v>13800.0</v>
      </c>
      <c r="E504" s="7">
        <v>19.0</v>
      </c>
    </row>
    <row r="505">
      <c r="A505" s="10">
        <v>46014.0</v>
      </c>
      <c r="B505" s="7">
        <v>13000.0</v>
      </c>
      <c r="C505" s="7">
        <v>5300.0</v>
      </c>
      <c r="D505" s="7">
        <v>22900.0</v>
      </c>
      <c r="E505" s="7">
        <v>12.0</v>
      </c>
    </row>
    <row r="506">
      <c r="A506" s="10">
        <v>46015.0</v>
      </c>
      <c r="B506" s="7">
        <v>11150.0</v>
      </c>
      <c r="C506" s="7">
        <v>8900.0</v>
      </c>
      <c r="D506" s="7">
        <v>20600.0</v>
      </c>
      <c r="E506" s="7">
        <v>10.0</v>
      </c>
    </row>
    <row r="507">
      <c r="A507" s="10">
        <v>46016.0</v>
      </c>
      <c r="B507" s="7">
        <v>10600.0</v>
      </c>
      <c r="C507" s="7">
        <v>3000.0</v>
      </c>
      <c r="D507" s="7">
        <v>13500.0</v>
      </c>
      <c r="E507" s="7">
        <v>12.0</v>
      </c>
    </row>
    <row r="508">
      <c r="A508" s="10">
        <v>46017.0</v>
      </c>
      <c r="B508" s="7">
        <v>12000.0</v>
      </c>
      <c r="C508" s="7">
        <v>300.0</v>
      </c>
      <c r="D508" s="7">
        <v>17100.0</v>
      </c>
      <c r="E508" s="7">
        <v>12.0</v>
      </c>
    </row>
    <row r="509">
      <c r="A509" s="10">
        <v>46018.0</v>
      </c>
      <c r="B509" s="7">
        <v>11850.0</v>
      </c>
      <c r="C509" s="7">
        <v>6000.0</v>
      </c>
      <c r="D509" s="7">
        <v>25900.0</v>
      </c>
      <c r="E509" s="7">
        <v>18.0</v>
      </c>
    </row>
    <row r="510">
      <c r="A510" s="10">
        <v>46019.0</v>
      </c>
      <c r="B510" s="7">
        <v>9600.0</v>
      </c>
      <c r="C510" s="7">
        <v>6000.0</v>
      </c>
      <c r="D510" s="7">
        <v>15000.0</v>
      </c>
      <c r="E510" s="7">
        <v>20.0</v>
      </c>
    </row>
    <row r="511">
      <c r="A511" s="10">
        <v>46020.0</v>
      </c>
      <c r="B511" s="7">
        <v>10600.0</v>
      </c>
      <c r="C511" s="7">
        <v>800.0</v>
      </c>
      <c r="D511" s="7">
        <v>15600.0</v>
      </c>
      <c r="E511" s="7">
        <v>23.0</v>
      </c>
    </row>
    <row r="512">
      <c r="A512" s="10">
        <v>46021.0</v>
      </c>
      <c r="B512" s="7">
        <v>9700.0</v>
      </c>
      <c r="C512" s="7">
        <v>5800.0</v>
      </c>
      <c r="D512" s="7">
        <v>48800.0</v>
      </c>
      <c r="E512" s="7">
        <v>24.0</v>
      </c>
    </row>
    <row r="513">
      <c r="A513" s="10">
        <v>46022.0</v>
      </c>
      <c r="B513" s="7">
        <v>9600.0</v>
      </c>
      <c r="C513" s="7">
        <v>5800.0</v>
      </c>
      <c r="D513" s="7">
        <v>25900.0</v>
      </c>
      <c r="E513" s="7">
        <v>17.0</v>
      </c>
    </row>
    <row r="514">
      <c r="A514" s="10">
        <v>46023.0</v>
      </c>
      <c r="B514" s="7">
        <v>10900.0</v>
      </c>
      <c r="C514" s="7">
        <v>8000.0</v>
      </c>
      <c r="D514" s="7">
        <v>298200.0</v>
      </c>
      <c r="E514" s="7">
        <v>10.0</v>
      </c>
    </row>
    <row r="515">
      <c r="A515" s="10">
        <v>46024.0</v>
      </c>
      <c r="B515" s="7">
        <v>11900.0</v>
      </c>
      <c r="C515" s="7">
        <v>6000.0</v>
      </c>
      <c r="D515" s="7">
        <v>31500.0</v>
      </c>
      <c r="E515" s="7">
        <v>34.0</v>
      </c>
    </row>
    <row r="516">
      <c r="A516" s="10">
        <v>46025.0</v>
      </c>
      <c r="B516" s="7">
        <v>9800.0</v>
      </c>
      <c r="C516" s="7">
        <v>5800.0</v>
      </c>
      <c r="D516" s="7">
        <v>32900.0</v>
      </c>
      <c r="E516" s="7">
        <v>15.0</v>
      </c>
    </row>
    <row r="517">
      <c r="A517" s="10">
        <v>46026.0</v>
      </c>
      <c r="B517" s="7">
        <v>9800.0</v>
      </c>
      <c r="C517" s="7">
        <v>7000.0</v>
      </c>
      <c r="D517" s="7">
        <v>18200.0</v>
      </c>
      <c r="E517" s="7">
        <v>23.0</v>
      </c>
    </row>
    <row r="518">
      <c r="A518" s="10">
        <v>46027.0</v>
      </c>
      <c r="B518" s="7">
        <v>11700.0</v>
      </c>
      <c r="C518" s="7">
        <v>800.0</v>
      </c>
      <c r="D518" s="7">
        <v>24300.0</v>
      </c>
      <c r="E518" s="7">
        <v>36.0</v>
      </c>
    </row>
    <row r="519">
      <c r="A519" s="10">
        <v>46028.0</v>
      </c>
      <c r="B519" s="7">
        <v>9700.0</v>
      </c>
      <c r="C519" s="7">
        <v>5300.0</v>
      </c>
      <c r="D519" s="7">
        <v>27100.0</v>
      </c>
      <c r="E519" s="7">
        <v>22.0</v>
      </c>
    </row>
    <row r="520">
      <c r="A520" s="10">
        <v>46029.0</v>
      </c>
      <c r="B520" s="7">
        <v>11200.0</v>
      </c>
      <c r="C520" s="7">
        <v>6300.0</v>
      </c>
      <c r="D520" s="7">
        <v>90000.0</v>
      </c>
      <c r="E520" s="7">
        <v>24.0</v>
      </c>
    </row>
    <row r="521">
      <c r="A521" s="10">
        <v>46030.0</v>
      </c>
      <c r="B521" s="7">
        <v>9600.0</v>
      </c>
      <c r="C521" s="7">
        <v>700.0</v>
      </c>
      <c r="D521" s="7">
        <v>70000.0</v>
      </c>
      <c r="E521" s="7">
        <v>31.0</v>
      </c>
    </row>
    <row r="522">
      <c r="A522" s="10">
        <v>46031.0</v>
      </c>
      <c r="B522" s="7">
        <v>8100.0</v>
      </c>
      <c r="C522" s="7">
        <v>1700.0</v>
      </c>
      <c r="D522" s="7">
        <v>17400.0</v>
      </c>
      <c r="E522" s="7">
        <v>13.0</v>
      </c>
    </row>
    <row r="523">
      <c r="A523" s="10">
        <v>46032.0</v>
      </c>
      <c r="B523" s="7">
        <v>10100.0</v>
      </c>
      <c r="C523" s="7">
        <v>7200.0</v>
      </c>
      <c r="D523" s="7">
        <v>16900.0</v>
      </c>
      <c r="E523" s="7">
        <v>18.0</v>
      </c>
    </row>
    <row r="524">
      <c r="A524" s="10">
        <v>46033.0</v>
      </c>
      <c r="B524" s="7">
        <v>9800.0</v>
      </c>
      <c r="C524" s="7">
        <v>5300.0</v>
      </c>
      <c r="D524" s="7">
        <v>18200.0</v>
      </c>
      <c r="E524" s="7">
        <v>21.0</v>
      </c>
    </row>
    <row r="525">
      <c r="A525" s="10">
        <v>46034.0</v>
      </c>
      <c r="B525" s="7">
        <v>10200.0</v>
      </c>
      <c r="C525" s="7">
        <v>6300.0</v>
      </c>
      <c r="D525" s="7">
        <v>20600.0</v>
      </c>
      <c r="E525" s="7">
        <v>22.0</v>
      </c>
    </row>
    <row r="526">
      <c r="A526" s="10">
        <v>46035.0</v>
      </c>
      <c r="B526" s="7">
        <v>9000.0</v>
      </c>
      <c r="C526" s="7">
        <v>800.0</v>
      </c>
      <c r="D526" s="7">
        <v>29700.0</v>
      </c>
      <c r="E526" s="7">
        <v>29.0</v>
      </c>
    </row>
    <row r="527">
      <c r="A527" s="10">
        <v>46036.0</v>
      </c>
      <c r="B527" s="7">
        <v>9800.0</v>
      </c>
      <c r="C527" s="7">
        <v>6300.0</v>
      </c>
      <c r="D527" s="7">
        <v>16600.0</v>
      </c>
      <c r="E527" s="7">
        <v>21.0</v>
      </c>
    </row>
    <row r="528">
      <c r="A528" s="10">
        <v>46037.0</v>
      </c>
      <c r="B528" s="7">
        <v>11850.0</v>
      </c>
      <c r="C528" s="7">
        <v>5800.0</v>
      </c>
      <c r="D528" s="7">
        <v>31500.0</v>
      </c>
      <c r="E528" s="7">
        <v>32.0</v>
      </c>
    </row>
    <row r="529">
      <c r="A529" s="10">
        <v>46038.0</v>
      </c>
      <c r="B529" s="7">
        <v>9800.0</v>
      </c>
      <c r="C529" s="7">
        <v>6000.0</v>
      </c>
      <c r="D529" s="7">
        <v>28400.0</v>
      </c>
      <c r="E529" s="7">
        <v>19.0</v>
      </c>
    </row>
    <row r="530">
      <c r="A530" s="10">
        <v>46039.0</v>
      </c>
      <c r="B530" s="7">
        <v>9000.0</v>
      </c>
      <c r="C530" s="7">
        <v>1400.0</v>
      </c>
      <c r="D530" s="7">
        <v>20300.0</v>
      </c>
      <c r="E530" s="7">
        <v>17.0</v>
      </c>
    </row>
    <row r="531">
      <c r="A531" s="10">
        <v>46040.0</v>
      </c>
      <c r="B531" s="7">
        <v>8900.0</v>
      </c>
      <c r="C531" s="7">
        <v>5300.0</v>
      </c>
      <c r="D531" s="7">
        <v>20000.0</v>
      </c>
      <c r="E531" s="7">
        <v>23.0</v>
      </c>
    </row>
    <row r="532">
      <c r="A532" s="10">
        <v>46041.0</v>
      </c>
      <c r="B532" s="7">
        <v>9600.0</v>
      </c>
      <c r="C532" s="7">
        <v>6000.0</v>
      </c>
      <c r="D532" s="7">
        <v>22400.0</v>
      </c>
      <c r="E532" s="7">
        <v>23.0</v>
      </c>
    </row>
    <row r="533">
      <c r="A533" s="10">
        <v>46042.0</v>
      </c>
      <c r="B533" s="7">
        <v>11700.0</v>
      </c>
      <c r="C533" s="7">
        <v>6000.0</v>
      </c>
      <c r="D533" s="7">
        <v>18200.0</v>
      </c>
      <c r="E533" s="7">
        <v>25.0</v>
      </c>
    </row>
    <row r="534">
      <c r="A534" s="10">
        <v>46043.0</v>
      </c>
      <c r="B534" s="7">
        <v>9800.0</v>
      </c>
      <c r="C534" s="7">
        <v>6300.0</v>
      </c>
      <c r="D534" s="7">
        <v>22400.0</v>
      </c>
      <c r="E534" s="7">
        <v>19.0</v>
      </c>
    </row>
    <row r="535">
      <c r="A535" s="10">
        <v>46044.0</v>
      </c>
      <c r="B535" s="7">
        <v>8550.0</v>
      </c>
      <c r="C535" s="7">
        <v>700.0</v>
      </c>
      <c r="D535" s="7">
        <v>32900.0</v>
      </c>
      <c r="E535" s="7">
        <v>24.0</v>
      </c>
    </row>
    <row r="536">
      <c r="A536" s="10">
        <v>46045.0</v>
      </c>
      <c r="B536" s="7">
        <v>8100.0</v>
      </c>
      <c r="C536" s="7">
        <v>900.0</v>
      </c>
      <c r="D536" s="7">
        <v>23800.0</v>
      </c>
      <c r="E536" s="7">
        <v>21.0</v>
      </c>
    </row>
    <row r="537">
      <c r="A537" s="10">
        <v>46046.0</v>
      </c>
      <c r="B537" s="7">
        <v>11800.0</v>
      </c>
      <c r="C537" s="7">
        <v>6800.0</v>
      </c>
      <c r="D537" s="7">
        <v>22400.0</v>
      </c>
      <c r="E537" s="7">
        <v>11.0</v>
      </c>
    </row>
    <row r="538">
      <c r="A538" s="10">
        <v>46047.0</v>
      </c>
      <c r="B538" s="7">
        <v>8900.0</v>
      </c>
      <c r="C538" s="7">
        <v>900.0</v>
      </c>
      <c r="D538" s="7">
        <v>16400.0</v>
      </c>
      <c r="E538" s="7">
        <v>19.0</v>
      </c>
    </row>
    <row r="539">
      <c r="A539" s="10">
        <v>46048.0</v>
      </c>
      <c r="B539" s="7">
        <v>9000.0</v>
      </c>
      <c r="C539" s="7">
        <v>6300.0</v>
      </c>
      <c r="D539" s="7">
        <v>13500.0</v>
      </c>
      <c r="E539" s="7">
        <v>28.0</v>
      </c>
    </row>
    <row r="540">
      <c r="A540" s="10">
        <v>46049.0</v>
      </c>
      <c r="B540" s="7">
        <v>9000.0</v>
      </c>
      <c r="C540" s="7">
        <v>5300.0</v>
      </c>
      <c r="D540" s="7">
        <v>22400.0</v>
      </c>
      <c r="E540" s="7">
        <v>19.0</v>
      </c>
    </row>
    <row r="541">
      <c r="A541" s="10">
        <v>46050.0</v>
      </c>
      <c r="B541" s="7">
        <v>9000.0</v>
      </c>
      <c r="C541" s="7">
        <v>5800.0</v>
      </c>
      <c r="D541" s="7">
        <v>30100.0</v>
      </c>
      <c r="E541" s="7">
        <v>27.0</v>
      </c>
    </row>
    <row r="542">
      <c r="A542" s="10">
        <v>46051.0</v>
      </c>
      <c r="B542" s="7">
        <v>9300.0</v>
      </c>
      <c r="C542" s="7">
        <v>1200.0</v>
      </c>
      <c r="D542" s="7">
        <v>28700.0</v>
      </c>
      <c r="E542" s="7">
        <v>16.0</v>
      </c>
    </row>
    <row r="543">
      <c r="A543" s="10">
        <v>46052.0</v>
      </c>
      <c r="B543" s="7">
        <v>9800.0</v>
      </c>
      <c r="C543" s="7">
        <v>1200.0</v>
      </c>
      <c r="D543" s="7">
        <v>22400.0</v>
      </c>
      <c r="E543" s="7">
        <v>19.0</v>
      </c>
    </row>
    <row r="544">
      <c r="A544" s="10">
        <v>46053.0</v>
      </c>
      <c r="B544" s="7">
        <v>11150.0</v>
      </c>
      <c r="C544" s="7">
        <v>1200.0</v>
      </c>
      <c r="D544" s="7">
        <v>22400.0</v>
      </c>
      <c r="E544" s="7">
        <v>24.0</v>
      </c>
    </row>
    <row r="545">
      <c r="A545" s="10">
        <v>46054.0</v>
      </c>
      <c r="B545" s="7">
        <v>9000.0</v>
      </c>
      <c r="C545" s="7">
        <v>1000.0</v>
      </c>
      <c r="D545" s="7">
        <v>14200.0</v>
      </c>
      <c r="E545" s="7">
        <v>17.0</v>
      </c>
    </row>
    <row r="546">
      <c r="A546" s="10">
        <v>46055.0</v>
      </c>
      <c r="B546" s="7">
        <v>9800.0</v>
      </c>
      <c r="C546" s="7">
        <v>4500.0</v>
      </c>
      <c r="D546" s="7">
        <v>22400.0</v>
      </c>
      <c r="E546" s="7">
        <v>36.0</v>
      </c>
    </row>
    <row r="547">
      <c r="A547" s="10">
        <v>46056.0</v>
      </c>
      <c r="B547" s="7">
        <v>9800.0</v>
      </c>
      <c r="C547" s="7">
        <v>5300.0</v>
      </c>
      <c r="D547" s="7">
        <v>19000.0</v>
      </c>
      <c r="E547" s="7">
        <v>30.0</v>
      </c>
    </row>
    <row r="548">
      <c r="A548" s="10">
        <v>46057.0</v>
      </c>
      <c r="B548" s="7">
        <v>9000.0</v>
      </c>
      <c r="C548" s="7">
        <v>6000.0</v>
      </c>
      <c r="D548" s="7">
        <v>23400.0</v>
      </c>
      <c r="E548" s="7">
        <v>27.0</v>
      </c>
    </row>
    <row r="549">
      <c r="A549" s="10">
        <v>46058.0</v>
      </c>
      <c r="B549" s="7">
        <v>9000.0</v>
      </c>
      <c r="C549" s="7">
        <v>6300.0</v>
      </c>
      <c r="D549" s="7">
        <v>37100.0</v>
      </c>
      <c r="E549" s="7">
        <v>34.0</v>
      </c>
    </row>
    <row r="550">
      <c r="A550" s="10">
        <v>46059.0</v>
      </c>
      <c r="B550" s="7">
        <v>10600.0</v>
      </c>
      <c r="C550" s="7">
        <v>5800.0</v>
      </c>
      <c r="D550" s="7">
        <v>29400.0</v>
      </c>
      <c r="E550" s="7">
        <v>21.0</v>
      </c>
    </row>
    <row r="551">
      <c r="A551" s="10">
        <v>46060.0</v>
      </c>
      <c r="B551" s="7">
        <v>9000.0</v>
      </c>
      <c r="C551" s="7">
        <v>4000.0</v>
      </c>
      <c r="D551" s="7">
        <v>27300.0</v>
      </c>
      <c r="E551" s="7">
        <v>18.0</v>
      </c>
    </row>
    <row r="552">
      <c r="A552" s="10">
        <v>46061.0</v>
      </c>
      <c r="B552" s="7">
        <v>12750.0</v>
      </c>
      <c r="C552" s="7">
        <v>900.0</v>
      </c>
      <c r="D552" s="7">
        <v>28700.0</v>
      </c>
      <c r="E552" s="7">
        <v>24.0</v>
      </c>
    </row>
    <row r="553">
      <c r="A553" s="10">
        <v>46062.0</v>
      </c>
      <c r="B553" s="7">
        <v>9800.0</v>
      </c>
      <c r="C553" s="7">
        <v>8000.0</v>
      </c>
      <c r="D553" s="7">
        <v>20200.0</v>
      </c>
      <c r="E553" s="7">
        <v>17.0</v>
      </c>
    </row>
    <row r="554">
      <c r="A554" s="10">
        <v>46063.0</v>
      </c>
      <c r="B554" s="7">
        <v>11700.0</v>
      </c>
      <c r="C554" s="7">
        <v>5300.0</v>
      </c>
      <c r="D554" s="7">
        <v>22400.0</v>
      </c>
      <c r="E554" s="7">
        <v>25.0</v>
      </c>
    </row>
    <row r="555">
      <c r="A555" s="10">
        <v>46064.0</v>
      </c>
      <c r="B555" s="7">
        <v>9800.0</v>
      </c>
      <c r="C555" s="7">
        <v>800.0</v>
      </c>
      <c r="D555" s="7">
        <v>20200.0</v>
      </c>
      <c r="E555" s="7">
        <v>16.0</v>
      </c>
    </row>
    <row r="556">
      <c r="A556" s="10">
        <v>46065.0</v>
      </c>
      <c r="B556" s="7">
        <v>8000.0</v>
      </c>
      <c r="C556" s="7">
        <v>4000.0</v>
      </c>
      <c r="D556" s="7">
        <v>20200.0</v>
      </c>
      <c r="E556" s="7">
        <v>21.0</v>
      </c>
    </row>
    <row r="557">
      <c r="A557" s="10">
        <v>46066.0</v>
      </c>
      <c r="B557" s="7">
        <v>9800.0</v>
      </c>
      <c r="C557" s="7">
        <v>3000.0</v>
      </c>
      <c r="D557" s="7">
        <v>15800.0</v>
      </c>
      <c r="E557" s="7">
        <v>19.0</v>
      </c>
    </row>
    <row r="558">
      <c r="A558" s="10">
        <v>46067.0</v>
      </c>
      <c r="B558" s="7">
        <v>9300.0</v>
      </c>
      <c r="C558" s="7">
        <v>5800.0</v>
      </c>
      <c r="D558" s="7">
        <v>18200.0</v>
      </c>
      <c r="E558" s="7">
        <v>18.0</v>
      </c>
    </row>
    <row r="559">
      <c r="A559" s="10">
        <v>46068.0</v>
      </c>
      <c r="B559" s="7">
        <v>10700.0</v>
      </c>
      <c r="C559" s="7">
        <v>900.0</v>
      </c>
      <c r="D559" s="7">
        <v>36000.0</v>
      </c>
      <c r="E559" s="7">
        <v>31.0</v>
      </c>
    </row>
    <row r="560">
      <c r="A560" s="10">
        <v>46069.0</v>
      </c>
      <c r="B560" s="7">
        <v>10600.0</v>
      </c>
      <c r="C560" s="7">
        <v>6400.0</v>
      </c>
      <c r="D560" s="7">
        <v>24600.0</v>
      </c>
      <c r="E560" s="7">
        <v>30.0</v>
      </c>
    </row>
    <row r="561">
      <c r="A561" s="10">
        <v>46070.0</v>
      </c>
      <c r="B561" s="7">
        <v>10200.0</v>
      </c>
      <c r="C561" s="7">
        <v>5800.0</v>
      </c>
      <c r="D561" s="7">
        <v>25100.0</v>
      </c>
      <c r="E561" s="7">
        <v>24.0</v>
      </c>
    </row>
    <row r="562">
      <c r="A562" s="10">
        <v>46071.0</v>
      </c>
      <c r="B562" s="7">
        <v>9000.0</v>
      </c>
      <c r="C562" s="7">
        <v>1200.0</v>
      </c>
      <c r="D562" s="7">
        <v>16600.0</v>
      </c>
      <c r="E562" s="7">
        <v>30.0</v>
      </c>
    </row>
    <row r="563">
      <c r="A563" s="10">
        <v>46072.0</v>
      </c>
      <c r="B563" s="7">
        <v>9300.0</v>
      </c>
      <c r="C563" s="7">
        <v>5300.0</v>
      </c>
      <c r="D563" s="7">
        <v>15700.0</v>
      </c>
      <c r="E563" s="7">
        <v>28.0</v>
      </c>
    </row>
    <row r="564">
      <c r="A564" s="10">
        <v>46073.0</v>
      </c>
      <c r="B564" s="7">
        <v>10750.0</v>
      </c>
      <c r="C564" s="7">
        <v>6000.0</v>
      </c>
      <c r="D564" s="7">
        <v>35700.0</v>
      </c>
      <c r="E564" s="7">
        <v>16.0</v>
      </c>
    </row>
    <row r="565">
      <c r="A565" s="10">
        <v>46074.0</v>
      </c>
      <c r="B565" s="7">
        <v>8950.0</v>
      </c>
      <c r="C565" s="7">
        <v>1000.0</v>
      </c>
      <c r="D565" s="7">
        <v>28700.0</v>
      </c>
      <c r="E565" s="7">
        <v>24.0</v>
      </c>
    </row>
    <row r="566">
      <c r="A566" s="10">
        <v>46075.0</v>
      </c>
      <c r="B566" s="7">
        <v>9000.0</v>
      </c>
      <c r="C566" s="7">
        <v>800.0</v>
      </c>
      <c r="D566" s="7">
        <v>14200.0</v>
      </c>
      <c r="E566" s="7">
        <v>24.0</v>
      </c>
    </row>
    <row r="567">
      <c r="A567" s="10">
        <v>46076.0</v>
      </c>
      <c r="B567" s="7">
        <v>9800.0</v>
      </c>
      <c r="C567" s="7">
        <v>6000.0</v>
      </c>
      <c r="D567" s="7">
        <v>17400.0</v>
      </c>
      <c r="E567" s="7">
        <v>26.0</v>
      </c>
    </row>
    <row r="568">
      <c r="A568" s="10">
        <v>46077.0</v>
      </c>
      <c r="B568" s="7">
        <v>11200.0</v>
      </c>
      <c r="C568" s="7">
        <v>1000.0</v>
      </c>
      <c r="D568" s="7">
        <v>27200.0</v>
      </c>
      <c r="E568" s="7">
        <v>36.0</v>
      </c>
    </row>
    <row r="569">
      <c r="A569" s="10">
        <v>46078.0</v>
      </c>
      <c r="B569" s="7">
        <v>8500.0</v>
      </c>
      <c r="C569" s="7">
        <v>5900.0</v>
      </c>
      <c r="D569" s="7">
        <v>30200.0</v>
      </c>
      <c r="E569" s="7">
        <v>28.0</v>
      </c>
    </row>
    <row r="570">
      <c r="A570" s="10">
        <v>46079.0</v>
      </c>
      <c r="B570" s="7">
        <v>8100.0</v>
      </c>
      <c r="C570" s="7">
        <v>800.0</v>
      </c>
      <c r="D570" s="7">
        <v>32200.0</v>
      </c>
      <c r="E570" s="7">
        <v>31.0</v>
      </c>
    </row>
    <row r="571">
      <c r="A571" s="10">
        <v>46080.0</v>
      </c>
      <c r="B571" s="7">
        <v>9600.0</v>
      </c>
      <c r="C571" s="7">
        <v>5300.0</v>
      </c>
      <c r="D571" s="7">
        <v>25900.0</v>
      </c>
      <c r="E571" s="7">
        <v>27.0</v>
      </c>
    </row>
    <row r="572">
      <c r="A572" s="10">
        <v>46081.0</v>
      </c>
      <c r="B572" s="7">
        <v>9800.0</v>
      </c>
      <c r="C572" s="7">
        <v>1000.0</v>
      </c>
      <c r="D572" s="7">
        <v>22400.0</v>
      </c>
      <c r="E572" s="7">
        <v>19.0</v>
      </c>
    </row>
    <row r="573">
      <c r="A573" s="10">
        <v>46082.0</v>
      </c>
      <c r="B573" s="7">
        <v>9800.0</v>
      </c>
      <c r="C573" s="7">
        <v>800.0</v>
      </c>
      <c r="D573" s="7">
        <v>22400.0</v>
      </c>
      <c r="E573" s="7">
        <v>24.0</v>
      </c>
    </row>
    <row r="574">
      <c r="A574" s="10">
        <v>46083.0</v>
      </c>
      <c r="B574" s="7">
        <v>9000.0</v>
      </c>
      <c r="C574" s="7">
        <v>1000.0</v>
      </c>
      <c r="D574" s="7">
        <v>25900.0</v>
      </c>
      <c r="E574" s="7">
        <v>33.0</v>
      </c>
    </row>
    <row r="575">
      <c r="A575" s="10">
        <v>46084.0</v>
      </c>
      <c r="B575" s="7">
        <v>9800.0</v>
      </c>
      <c r="C575" s="7">
        <v>7000.0</v>
      </c>
      <c r="D575" s="7">
        <v>22400.0</v>
      </c>
      <c r="E575" s="7">
        <v>33.0</v>
      </c>
    </row>
    <row r="576">
      <c r="A576" s="10">
        <v>46085.0</v>
      </c>
      <c r="B576" s="7">
        <v>9000.0</v>
      </c>
      <c r="C576" s="7">
        <v>7000.0</v>
      </c>
      <c r="D576" s="7">
        <v>14200.0</v>
      </c>
      <c r="E576" s="7">
        <v>25.0</v>
      </c>
    </row>
    <row r="577">
      <c r="A577" s="10">
        <v>46086.0</v>
      </c>
      <c r="B577" s="7">
        <v>9000.0</v>
      </c>
      <c r="C577" s="7">
        <v>5800.0</v>
      </c>
      <c r="D577" s="7">
        <v>21400.0</v>
      </c>
      <c r="E577" s="7">
        <v>18.0</v>
      </c>
    </row>
    <row r="578">
      <c r="A578" s="10">
        <v>46087.0</v>
      </c>
      <c r="B578" s="7">
        <v>9000.0</v>
      </c>
      <c r="C578" s="7">
        <v>1000.0</v>
      </c>
      <c r="D578" s="7">
        <v>13500.0</v>
      </c>
      <c r="E578" s="7">
        <v>27.0</v>
      </c>
    </row>
    <row r="579">
      <c r="A579" s="10">
        <v>46088.0</v>
      </c>
      <c r="B579" s="7">
        <v>10100.0</v>
      </c>
      <c r="C579" s="7">
        <v>700.0</v>
      </c>
      <c r="D579" s="7">
        <v>22400.0</v>
      </c>
      <c r="E579" s="7">
        <v>28.0</v>
      </c>
    </row>
    <row r="580">
      <c r="A580" s="10">
        <v>46089.0</v>
      </c>
      <c r="B580" s="7">
        <v>10700.0</v>
      </c>
      <c r="C580" s="7">
        <v>1200.0</v>
      </c>
      <c r="D580" s="7">
        <v>22200.0</v>
      </c>
      <c r="E580" s="7">
        <v>27.0</v>
      </c>
    </row>
    <row r="581">
      <c r="A581" s="10">
        <v>46090.0</v>
      </c>
      <c r="B581" s="7">
        <v>9600.0</v>
      </c>
      <c r="C581" s="7">
        <v>2900.0</v>
      </c>
      <c r="D581" s="7">
        <v>22400.0</v>
      </c>
      <c r="E581" s="7">
        <v>33.0</v>
      </c>
    </row>
    <row r="582">
      <c r="A582" s="10">
        <v>46091.0</v>
      </c>
      <c r="B582" s="7">
        <v>11150.0</v>
      </c>
      <c r="C582" s="7">
        <v>900.0</v>
      </c>
      <c r="D582" s="7">
        <v>22400.0</v>
      </c>
      <c r="E582" s="7">
        <v>32.0</v>
      </c>
    </row>
    <row r="583">
      <c r="A583" s="10">
        <v>46092.0</v>
      </c>
      <c r="B583" s="7">
        <v>9400.0</v>
      </c>
      <c r="C583" s="7">
        <v>4000.0</v>
      </c>
      <c r="D583" s="7">
        <v>15700.0</v>
      </c>
      <c r="E583" s="7">
        <v>32.0</v>
      </c>
    </row>
    <row r="584">
      <c r="A584" s="10">
        <v>46093.0</v>
      </c>
      <c r="B584" s="7">
        <v>9600.0</v>
      </c>
      <c r="C584" s="7">
        <v>2800.0</v>
      </c>
      <c r="D584" s="7">
        <v>22400.0</v>
      </c>
      <c r="E584" s="7">
        <v>40.0</v>
      </c>
    </row>
    <row r="585">
      <c r="A585" s="10">
        <v>46094.0</v>
      </c>
      <c r="B585" s="7">
        <v>9400.0</v>
      </c>
      <c r="C585" s="7">
        <v>800.0</v>
      </c>
      <c r="D585" s="7">
        <v>16900.0</v>
      </c>
      <c r="E585" s="7">
        <v>24.0</v>
      </c>
    </row>
    <row r="586">
      <c r="A586" s="10">
        <v>46095.0</v>
      </c>
      <c r="B586" s="7">
        <v>9800.0</v>
      </c>
      <c r="C586" s="7">
        <v>7200.0</v>
      </c>
      <c r="D586" s="7">
        <v>21500.0</v>
      </c>
      <c r="E586" s="7">
        <v>12.0</v>
      </c>
    </row>
    <row r="587">
      <c r="A587" s="10">
        <v>46096.0</v>
      </c>
      <c r="B587" s="7">
        <v>10600.0</v>
      </c>
      <c r="C587" s="7">
        <v>1300.0</v>
      </c>
      <c r="D587" s="7">
        <v>14100.0</v>
      </c>
      <c r="E587" s="7">
        <v>19.0</v>
      </c>
    </row>
    <row r="588">
      <c r="A588" s="10">
        <v>46097.0</v>
      </c>
      <c r="B588" s="7">
        <v>9000.0</v>
      </c>
      <c r="C588" s="7">
        <v>7000.0</v>
      </c>
      <c r="D588" s="7">
        <v>24500.0</v>
      </c>
      <c r="E588" s="7">
        <v>41.0</v>
      </c>
    </row>
    <row r="589">
      <c r="A589" s="10">
        <v>46098.0</v>
      </c>
      <c r="B589" s="7">
        <v>9800.0</v>
      </c>
      <c r="C589" s="7">
        <v>6000.0</v>
      </c>
      <c r="D589" s="7">
        <v>23800.0</v>
      </c>
      <c r="E589" s="7">
        <v>22.0</v>
      </c>
    </row>
    <row r="590">
      <c r="A590" s="10">
        <v>46099.0</v>
      </c>
      <c r="B590" s="7">
        <v>9000.0</v>
      </c>
      <c r="C590" s="7">
        <v>800.0</v>
      </c>
      <c r="D590" s="7">
        <v>31500.0</v>
      </c>
      <c r="E590" s="7">
        <v>32.0</v>
      </c>
    </row>
    <row r="591">
      <c r="A591" s="10">
        <v>46100.0</v>
      </c>
      <c r="B591" s="7">
        <v>9700.0</v>
      </c>
      <c r="C591" s="7">
        <v>8000.0</v>
      </c>
      <c r="D591" s="7">
        <v>16400.0</v>
      </c>
      <c r="E591" s="7">
        <v>36.0</v>
      </c>
    </row>
    <row r="592">
      <c r="A592" s="10">
        <v>46101.0</v>
      </c>
      <c r="B592" s="7">
        <v>11800.0</v>
      </c>
      <c r="C592" s="7">
        <v>800.0</v>
      </c>
      <c r="D592" s="7">
        <v>42200.0</v>
      </c>
      <c r="E592" s="7">
        <v>33.0</v>
      </c>
    </row>
    <row r="593">
      <c r="A593" s="10">
        <v>46102.0</v>
      </c>
      <c r="B593" s="7">
        <v>9700.0</v>
      </c>
      <c r="C593" s="7">
        <v>800.0</v>
      </c>
      <c r="D593" s="7">
        <v>18200.0</v>
      </c>
      <c r="E593" s="7">
        <v>20.0</v>
      </c>
    </row>
    <row r="594">
      <c r="A594" s="10">
        <v>46103.0</v>
      </c>
      <c r="B594" s="7">
        <v>9800.0</v>
      </c>
      <c r="C594" s="7">
        <v>1000.0</v>
      </c>
      <c r="D594" s="7">
        <v>18200.0</v>
      </c>
      <c r="E594" s="7">
        <v>22.0</v>
      </c>
    </row>
    <row r="595">
      <c r="A595" s="10">
        <v>46104.0</v>
      </c>
      <c r="B595" s="7">
        <v>9800.0</v>
      </c>
      <c r="C595" s="7">
        <v>800.0</v>
      </c>
      <c r="D595" s="7">
        <v>16900.0</v>
      </c>
      <c r="E595" s="7">
        <v>14.0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1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K1" s="1" t="s">
        <v>5</v>
      </c>
      <c r="L1" s="1" t="s">
        <v>30</v>
      </c>
      <c r="M1" s="1" t="s">
        <v>31</v>
      </c>
      <c r="N1" s="1" t="s">
        <v>32</v>
      </c>
      <c r="O1" s="1" t="s">
        <v>33</v>
      </c>
    </row>
    <row r="2">
      <c r="A2" s="2">
        <v>46082.0</v>
      </c>
      <c r="B2" s="1">
        <v>4706350.0</v>
      </c>
      <c r="C2" s="1">
        <v>450000.0</v>
      </c>
      <c r="D2" s="1">
        <v>0.0</v>
      </c>
      <c r="E2" s="1">
        <v>0.0</v>
      </c>
      <c r="F2" s="1">
        <f t="shared" ref="F2:F21" si="1">SUM(B2:E2)</f>
        <v>5156350</v>
      </c>
      <c r="G2" s="1" t="s">
        <v>34</v>
      </c>
      <c r="H2" s="1">
        <v>14031.0</v>
      </c>
      <c r="I2" s="1">
        <v>1.4228298E8</v>
      </c>
      <c r="K2" s="1" t="s">
        <v>15</v>
      </c>
      <c r="L2" s="1">
        <v>171.0</v>
      </c>
      <c r="M2" s="1">
        <v>24.0</v>
      </c>
      <c r="N2" s="1">
        <v>195.0</v>
      </c>
      <c r="O2" s="1">
        <v>2627400.0</v>
      </c>
    </row>
    <row r="3">
      <c r="A3" s="2">
        <v>46054.0</v>
      </c>
      <c r="B3" s="1">
        <v>4900750.0</v>
      </c>
      <c r="C3" s="1">
        <v>437000.0</v>
      </c>
      <c r="D3" s="1">
        <v>33000.0</v>
      </c>
      <c r="E3" s="1">
        <v>0.0</v>
      </c>
      <c r="F3" s="1">
        <f t="shared" si="1"/>
        <v>5370750</v>
      </c>
      <c r="G3" s="1" t="s">
        <v>35</v>
      </c>
      <c r="H3" s="1">
        <v>1042.0</v>
      </c>
      <c r="I3" s="1">
        <v>1.887282E7</v>
      </c>
      <c r="K3" s="1">
        <v>2026.0</v>
      </c>
      <c r="L3" s="1">
        <v>325.0</v>
      </c>
      <c r="M3" s="1">
        <v>49.0</v>
      </c>
      <c r="N3" s="1">
        <v>377.0</v>
      </c>
      <c r="O3" s="1">
        <v>4323000.0</v>
      </c>
    </row>
    <row r="4">
      <c r="A4" s="2">
        <v>46023.0</v>
      </c>
      <c r="B4" s="1">
        <v>5297500.0</v>
      </c>
      <c r="C4" s="1">
        <v>310000.0</v>
      </c>
      <c r="D4" s="1">
        <v>9000.0</v>
      </c>
      <c r="E4" s="1">
        <v>0.0</v>
      </c>
      <c r="F4" s="1">
        <f t="shared" si="1"/>
        <v>5616500</v>
      </c>
      <c r="G4" s="1" t="s">
        <v>36</v>
      </c>
      <c r="H4" s="1">
        <v>41.0</v>
      </c>
      <c r="I4" s="1">
        <v>656000.0</v>
      </c>
      <c r="K4" s="1">
        <v>2024.0</v>
      </c>
      <c r="L4" s="1">
        <v>974.0</v>
      </c>
      <c r="M4" s="1">
        <v>139.0</v>
      </c>
      <c r="N4" s="1">
        <v>1117.0</v>
      </c>
      <c r="O4" s="1">
        <v>1.229155E7</v>
      </c>
    </row>
    <row r="5">
      <c r="A5" s="2">
        <v>45992.0</v>
      </c>
      <c r="B5" s="1">
        <v>5460100.0</v>
      </c>
      <c r="C5" s="1">
        <v>336000.0</v>
      </c>
      <c r="D5" s="1">
        <v>11000.0</v>
      </c>
      <c r="E5" s="1">
        <v>3000.0</v>
      </c>
      <c r="F5" s="1">
        <f t="shared" si="1"/>
        <v>5810100</v>
      </c>
      <c r="K5" s="1">
        <v>2023.0</v>
      </c>
      <c r="L5" s="1">
        <v>1019.0</v>
      </c>
      <c r="M5" s="1">
        <v>98.0</v>
      </c>
      <c r="N5" s="1">
        <v>1123.0</v>
      </c>
      <c r="O5" s="1">
        <v>1.19319E7</v>
      </c>
    </row>
    <row r="6">
      <c r="A6" s="2">
        <v>45962.0</v>
      </c>
      <c r="B6" s="1">
        <v>5620200.0</v>
      </c>
      <c r="C6" s="1">
        <v>343000.0</v>
      </c>
      <c r="D6" s="1">
        <v>19000.0</v>
      </c>
      <c r="E6" s="1">
        <v>0.0</v>
      </c>
      <c r="F6" s="1">
        <f t="shared" si="1"/>
        <v>5982200</v>
      </c>
      <c r="K6" s="1">
        <v>2022.0</v>
      </c>
      <c r="L6" s="1">
        <v>972.0</v>
      </c>
      <c r="M6" s="1">
        <v>83.0</v>
      </c>
      <c r="N6" s="1">
        <v>1057.0</v>
      </c>
      <c r="O6" s="1">
        <v>1.12671E7</v>
      </c>
    </row>
    <row r="7">
      <c r="A7" s="2">
        <v>45931.0</v>
      </c>
      <c r="B7" s="1">
        <v>1.079365E7</v>
      </c>
      <c r="C7" s="1">
        <v>527000.0</v>
      </c>
      <c r="D7" s="1">
        <v>41000.0</v>
      </c>
      <c r="E7" s="1">
        <v>6000.0</v>
      </c>
      <c r="F7" s="1">
        <f t="shared" si="1"/>
        <v>11367650</v>
      </c>
      <c r="K7" s="1">
        <v>2021.0</v>
      </c>
      <c r="L7" s="1">
        <v>690.0</v>
      </c>
      <c r="M7" s="1">
        <v>52.0</v>
      </c>
      <c r="N7" s="1">
        <v>746.0</v>
      </c>
      <c r="O7" s="1">
        <v>8680900.0</v>
      </c>
    </row>
    <row r="8">
      <c r="A8" s="2">
        <v>45901.0</v>
      </c>
      <c r="B8" s="1">
        <v>1.27619E7</v>
      </c>
      <c r="C8" s="1">
        <v>399000.0</v>
      </c>
      <c r="D8" s="1">
        <v>13000.0</v>
      </c>
      <c r="E8" s="1">
        <v>189000.0</v>
      </c>
      <c r="F8" s="1">
        <f t="shared" si="1"/>
        <v>13362900</v>
      </c>
      <c r="K8" s="1">
        <v>2020.0</v>
      </c>
      <c r="L8" s="1">
        <v>1777.0</v>
      </c>
      <c r="M8" s="1">
        <v>141.0</v>
      </c>
      <c r="N8" s="1">
        <v>1920.0</v>
      </c>
      <c r="O8" s="1">
        <v>2.07316E7</v>
      </c>
    </row>
    <row r="9">
      <c r="A9" s="2">
        <v>45870.0</v>
      </c>
      <c r="B9" s="1">
        <v>1.15863E7</v>
      </c>
      <c r="C9" s="1">
        <v>514000.0</v>
      </c>
      <c r="D9" s="1">
        <v>39000.0</v>
      </c>
      <c r="E9" s="1">
        <v>231000.0</v>
      </c>
      <c r="F9" s="1">
        <f t="shared" si="1"/>
        <v>12370300</v>
      </c>
      <c r="K9" s="1">
        <v>2018.0</v>
      </c>
      <c r="L9" s="1">
        <v>1599.0</v>
      </c>
      <c r="M9" s="1">
        <v>117.0</v>
      </c>
      <c r="N9" s="1">
        <v>1726.0</v>
      </c>
      <c r="O9" s="1">
        <v>1.825735E7</v>
      </c>
    </row>
    <row r="10">
      <c r="A10" s="2">
        <v>45839.0</v>
      </c>
      <c r="B10" s="1">
        <v>1.22874E7</v>
      </c>
      <c r="C10" s="1">
        <v>413000.0</v>
      </c>
      <c r="D10" s="1">
        <v>26000.0</v>
      </c>
      <c r="E10" s="1">
        <v>270000.0</v>
      </c>
      <c r="F10" s="1">
        <f t="shared" si="1"/>
        <v>12996400</v>
      </c>
      <c r="K10" s="1">
        <v>2016.0</v>
      </c>
      <c r="L10" s="1">
        <v>1435.0</v>
      </c>
      <c r="M10" s="1">
        <v>102.0</v>
      </c>
      <c r="N10" s="1">
        <v>1538.0</v>
      </c>
      <c r="O10" s="1">
        <v>1.60281E7</v>
      </c>
    </row>
    <row r="11">
      <c r="A11" s="2">
        <v>45809.0</v>
      </c>
      <c r="B11" s="1">
        <v>1.145006E7</v>
      </c>
      <c r="C11" s="1">
        <v>404000.0</v>
      </c>
      <c r="D11" s="1">
        <v>26000.0</v>
      </c>
      <c r="E11" s="1">
        <v>102000.0</v>
      </c>
      <c r="F11" s="1">
        <f t="shared" si="1"/>
        <v>11982060</v>
      </c>
      <c r="K11" s="1">
        <v>2014.0</v>
      </c>
      <c r="L11" s="1">
        <v>1218.0</v>
      </c>
      <c r="M11" s="1">
        <v>63.0</v>
      </c>
      <c r="N11" s="1">
        <v>1284.0</v>
      </c>
      <c r="O11" s="1">
        <v>1.35237E7</v>
      </c>
    </row>
    <row r="12">
      <c r="A12" s="2">
        <v>45778.0</v>
      </c>
      <c r="B12" s="1">
        <v>9575800.0</v>
      </c>
      <c r="C12" s="1">
        <v>338000.0</v>
      </c>
      <c r="D12" s="1">
        <v>88000.0</v>
      </c>
      <c r="E12" s="1">
        <v>54000.0</v>
      </c>
      <c r="F12" s="1">
        <f t="shared" si="1"/>
        <v>10055800</v>
      </c>
      <c r="K12" s="1">
        <v>2011.0</v>
      </c>
      <c r="L12" s="1">
        <v>1000.0</v>
      </c>
      <c r="M12" s="1">
        <v>78.0</v>
      </c>
      <c r="N12" s="1">
        <v>1078.0</v>
      </c>
      <c r="O12" s="1">
        <v>1.1437E7</v>
      </c>
    </row>
    <row r="13">
      <c r="A13" s="2">
        <v>45748.0</v>
      </c>
      <c r="B13" s="1">
        <v>7435200.0</v>
      </c>
      <c r="C13" s="1">
        <v>12000.0</v>
      </c>
      <c r="D13" s="1">
        <v>3000.0</v>
      </c>
      <c r="E13" s="1">
        <v>72000.0</v>
      </c>
      <c r="F13" s="1">
        <f t="shared" si="1"/>
        <v>7522200</v>
      </c>
      <c r="K13" s="1">
        <v>2007.0</v>
      </c>
      <c r="L13" s="1">
        <v>837.0</v>
      </c>
      <c r="M13" s="1">
        <v>40.0</v>
      </c>
      <c r="N13" s="1">
        <v>879.0</v>
      </c>
      <c r="O13" s="1">
        <v>9197900.0</v>
      </c>
    </row>
    <row r="14">
      <c r="A14" s="2">
        <v>45717.0</v>
      </c>
      <c r="B14" s="1">
        <v>5408300.0</v>
      </c>
      <c r="C14" s="1">
        <v>0.0</v>
      </c>
      <c r="D14" s="1">
        <v>0.0</v>
      </c>
      <c r="E14" s="1">
        <v>0.0</v>
      </c>
      <c r="F14" s="1">
        <f t="shared" si="1"/>
        <v>5408300</v>
      </c>
      <c r="K14" s="1">
        <v>2005.0</v>
      </c>
      <c r="L14" s="1">
        <v>731.0</v>
      </c>
      <c r="M14" s="1">
        <v>15.0</v>
      </c>
      <c r="N14" s="1">
        <v>746.0</v>
      </c>
      <c r="O14" s="1">
        <v>7675300.0</v>
      </c>
    </row>
    <row r="15">
      <c r="A15" s="2">
        <v>45689.0</v>
      </c>
      <c r="B15" s="1">
        <v>3107300.0</v>
      </c>
      <c r="C15" s="1">
        <v>0.0</v>
      </c>
      <c r="D15" s="1">
        <v>0.0</v>
      </c>
      <c r="E15" s="1">
        <v>0.0</v>
      </c>
      <c r="F15" s="1">
        <f t="shared" si="1"/>
        <v>3107300</v>
      </c>
      <c r="K15" s="1">
        <v>2003.0</v>
      </c>
      <c r="L15" s="1">
        <v>417.0</v>
      </c>
      <c r="M15" s="1">
        <v>8.0</v>
      </c>
      <c r="N15" s="1">
        <v>427.0</v>
      </c>
      <c r="O15" s="1">
        <v>4149100.0</v>
      </c>
    </row>
    <row r="16">
      <c r="A16" s="2">
        <v>45658.0</v>
      </c>
      <c r="B16" s="1">
        <v>3938020.0</v>
      </c>
      <c r="C16" s="1">
        <v>0.0</v>
      </c>
      <c r="D16" s="1">
        <v>0.0</v>
      </c>
      <c r="E16" s="1">
        <v>0.0</v>
      </c>
      <c r="F16" s="1">
        <f t="shared" si="1"/>
        <v>3938020</v>
      </c>
      <c r="K16" s="1">
        <v>2002.0</v>
      </c>
      <c r="L16" s="1">
        <v>241.0</v>
      </c>
      <c r="M16" s="1">
        <v>5.0</v>
      </c>
      <c r="N16" s="1">
        <v>246.0</v>
      </c>
      <c r="O16" s="1">
        <v>2420200.0</v>
      </c>
    </row>
    <row r="17">
      <c r="A17" s="2">
        <v>45627.0</v>
      </c>
      <c r="B17" s="1">
        <v>4446700.0</v>
      </c>
      <c r="C17" s="1">
        <v>0.0</v>
      </c>
      <c r="D17" s="1">
        <v>0.0</v>
      </c>
      <c r="E17" s="1">
        <v>0.0</v>
      </c>
      <c r="F17" s="1">
        <f t="shared" si="1"/>
        <v>4446700</v>
      </c>
      <c r="K17" s="1">
        <v>2001.0</v>
      </c>
      <c r="L17" s="1">
        <v>190.0</v>
      </c>
      <c r="M17" s="1">
        <v>4.0</v>
      </c>
      <c r="N17" s="1">
        <v>194.0</v>
      </c>
      <c r="O17" s="1">
        <v>2048000.0</v>
      </c>
    </row>
    <row r="18">
      <c r="A18" s="2">
        <v>45597.0</v>
      </c>
      <c r="B18" s="1">
        <v>4713100.0</v>
      </c>
      <c r="C18" s="1">
        <v>0.0</v>
      </c>
      <c r="D18" s="1">
        <v>0.0</v>
      </c>
      <c r="E18" s="1">
        <v>0.0</v>
      </c>
      <c r="F18" s="1">
        <f t="shared" si="1"/>
        <v>4713100</v>
      </c>
      <c r="K18" s="1">
        <v>1999.0</v>
      </c>
      <c r="L18" s="1">
        <v>79.0</v>
      </c>
      <c r="M18" s="1">
        <v>4.0</v>
      </c>
      <c r="N18" s="1">
        <v>85.0</v>
      </c>
      <c r="O18" s="1">
        <v>905200.0</v>
      </c>
    </row>
    <row r="19">
      <c r="A19" s="2">
        <v>45566.0</v>
      </c>
      <c r="B19" s="1">
        <v>6150700.0</v>
      </c>
      <c r="C19" s="1">
        <v>0.0</v>
      </c>
      <c r="D19" s="1">
        <v>0.0</v>
      </c>
      <c r="E19" s="1">
        <v>0.0</v>
      </c>
      <c r="F19" s="1">
        <f t="shared" si="1"/>
        <v>6150700</v>
      </c>
      <c r="K19" s="1">
        <v>1996.0</v>
      </c>
      <c r="L19" s="1">
        <v>25.0</v>
      </c>
      <c r="M19" s="1">
        <v>2.0</v>
      </c>
      <c r="N19" s="1">
        <v>27.0</v>
      </c>
      <c r="O19" s="1">
        <v>297400.0</v>
      </c>
    </row>
    <row r="20">
      <c r="A20" s="2">
        <v>45536.0</v>
      </c>
      <c r="B20" s="1">
        <v>5233900.0</v>
      </c>
      <c r="C20" s="1">
        <v>0.0</v>
      </c>
      <c r="D20" s="1">
        <v>0.0</v>
      </c>
      <c r="E20" s="1">
        <v>0.0</v>
      </c>
      <c r="F20" s="1">
        <f t="shared" si="1"/>
        <v>5233900</v>
      </c>
      <c r="K20" s="1">
        <v>1994.0</v>
      </c>
      <c r="L20" s="1">
        <v>46.0</v>
      </c>
      <c r="M20" s="1">
        <v>1.0</v>
      </c>
      <c r="N20" s="1">
        <v>47.0</v>
      </c>
      <c r="O20" s="1">
        <v>517900.0</v>
      </c>
    </row>
    <row r="21">
      <c r="A21" s="2">
        <v>45505.0</v>
      </c>
      <c r="B21" s="1">
        <v>0.0</v>
      </c>
      <c r="C21" s="1">
        <v>0.0</v>
      </c>
      <c r="D21" s="1">
        <v>0.0</v>
      </c>
      <c r="E21" s="1">
        <v>0.0</v>
      </c>
      <c r="F21" s="1">
        <f t="shared" si="1"/>
        <v>0</v>
      </c>
      <c r="K21" s="1">
        <v>1992.0</v>
      </c>
      <c r="L21" s="1">
        <v>22.0</v>
      </c>
      <c r="M21" s="1">
        <v>2.0</v>
      </c>
      <c r="N21" s="1">
        <v>24.0</v>
      </c>
      <c r="O21" s="1">
        <v>239000.0</v>
      </c>
    </row>
    <row r="22">
      <c r="K22" s="1">
        <v>1990.0</v>
      </c>
      <c r="L22" s="1">
        <v>263.0</v>
      </c>
      <c r="M22" s="1">
        <v>15.0</v>
      </c>
      <c r="N22" s="1">
        <v>278.0</v>
      </c>
      <c r="O22" s="1">
        <v>3262200.0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37</v>
      </c>
      <c r="B1" s="5" t="s">
        <v>38</v>
      </c>
      <c r="C1" s="11"/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11"/>
      <c r="K1" s="5" t="s">
        <v>44</v>
      </c>
      <c r="L1" s="5" t="s">
        <v>45</v>
      </c>
      <c r="M1" s="5" t="s">
        <v>46</v>
      </c>
      <c r="N1" s="5" t="s">
        <v>47</v>
      </c>
      <c r="S1" s="11"/>
      <c r="T1" s="11"/>
      <c r="U1" s="11"/>
      <c r="V1" s="11"/>
      <c r="W1" s="11"/>
      <c r="X1" s="11"/>
      <c r="Y1" s="11"/>
      <c r="Z1" s="11"/>
      <c r="AA1" s="11"/>
    </row>
    <row r="2">
      <c r="A2" s="1" t="s">
        <v>48</v>
      </c>
      <c r="B2" s="1">
        <v>8411.0</v>
      </c>
      <c r="D2" s="2">
        <v>46104.0</v>
      </c>
      <c r="E2" s="1">
        <v>6.0</v>
      </c>
      <c r="F2" s="1">
        <v>0.0</v>
      </c>
      <c r="G2" s="1">
        <v>6.0</v>
      </c>
      <c r="H2" s="1">
        <v>0.0</v>
      </c>
      <c r="K2" s="2">
        <v>46082.0</v>
      </c>
      <c r="L2" s="1">
        <v>267.0</v>
      </c>
      <c r="M2" s="1">
        <v>227.0</v>
      </c>
      <c r="N2" s="1">
        <v>40.0</v>
      </c>
    </row>
    <row r="3">
      <c r="A3" s="1" t="s">
        <v>49</v>
      </c>
      <c r="B3" s="1">
        <v>985.0</v>
      </c>
      <c r="D3" s="2">
        <v>46103.0</v>
      </c>
      <c r="E3" s="1">
        <v>8.0</v>
      </c>
      <c r="F3" s="1">
        <v>0.0</v>
      </c>
      <c r="G3" s="1">
        <v>6.0</v>
      </c>
      <c r="H3" s="1">
        <v>2.0</v>
      </c>
      <c r="K3" s="2">
        <v>46054.0</v>
      </c>
      <c r="L3" s="1">
        <v>272.0</v>
      </c>
      <c r="M3" s="1">
        <v>237.0</v>
      </c>
      <c r="N3" s="1">
        <v>35.0</v>
      </c>
    </row>
    <row r="4">
      <c r="A4" s="1" t="s">
        <v>50</v>
      </c>
      <c r="B4" s="1">
        <v>16.0</v>
      </c>
      <c r="D4" s="2">
        <v>46102.0</v>
      </c>
      <c r="E4" s="1">
        <v>6.0</v>
      </c>
      <c r="F4" s="1">
        <v>0.0</v>
      </c>
      <c r="G4" s="1">
        <v>6.0</v>
      </c>
      <c r="H4" s="1">
        <v>0.0</v>
      </c>
      <c r="K4" s="2">
        <v>46023.0</v>
      </c>
      <c r="L4" s="1">
        <v>245.0</v>
      </c>
      <c r="M4" s="1">
        <v>208.0</v>
      </c>
      <c r="N4" s="1">
        <v>37.0</v>
      </c>
    </row>
    <row r="5">
      <c r="D5" s="2">
        <v>46101.0</v>
      </c>
      <c r="E5" s="1">
        <v>10.0</v>
      </c>
      <c r="F5" s="1">
        <v>0.0</v>
      </c>
      <c r="G5" s="1">
        <v>8.0</v>
      </c>
      <c r="H5" s="1">
        <v>2.0</v>
      </c>
      <c r="K5" s="2">
        <v>45992.0</v>
      </c>
      <c r="L5" s="1">
        <v>210.0</v>
      </c>
      <c r="M5" s="1">
        <v>182.0</v>
      </c>
      <c r="N5" s="1">
        <v>27.0</v>
      </c>
    </row>
    <row r="6">
      <c r="D6" s="2">
        <v>46100.0</v>
      </c>
      <c r="E6" s="1">
        <v>16.0</v>
      </c>
      <c r="F6" s="1">
        <v>0.0</v>
      </c>
      <c r="G6" s="1">
        <v>14.0</v>
      </c>
      <c r="H6" s="1">
        <v>2.0</v>
      </c>
      <c r="K6" s="2">
        <v>45962.0</v>
      </c>
      <c r="L6" s="1">
        <v>249.0</v>
      </c>
      <c r="M6" s="1">
        <v>204.0</v>
      </c>
      <c r="N6" s="1">
        <v>41.0</v>
      </c>
    </row>
    <row r="7">
      <c r="D7" s="2">
        <v>46099.0</v>
      </c>
      <c r="E7" s="1">
        <v>17.0</v>
      </c>
      <c r="F7" s="1">
        <v>0.0</v>
      </c>
      <c r="G7" s="1">
        <v>17.0</v>
      </c>
      <c r="H7" s="1">
        <v>0.0</v>
      </c>
      <c r="K7" s="2">
        <v>45931.0</v>
      </c>
      <c r="L7" s="1">
        <v>483.0</v>
      </c>
      <c r="M7" s="1">
        <v>436.0</v>
      </c>
      <c r="N7" s="1">
        <v>46.0</v>
      </c>
    </row>
    <row r="8">
      <c r="D8" s="2">
        <v>46098.0</v>
      </c>
      <c r="E8" s="1">
        <v>11.0</v>
      </c>
      <c r="F8" s="1">
        <v>0.0</v>
      </c>
      <c r="G8" s="1">
        <v>11.0</v>
      </c>
      <c r="H8" s="1">
        <v>0.0</v>
      </c>
      <c r="K8" s="2">
        <v>45901.0</v>
      </c>
      <c r="L8" s="1">
        <v>595.0</v>
      </c>
      <c r="M8" s="1">
        <v>524.0</v>
      </c>
      <c r="N8" s="1">
        <v>71.0</v>
      </c>
    </row>
    <row r="9">
      <c r="D9" s="2">
        <v>46097.0</v>
      </c>
      <c r="E9" s="1">
        <v>14.0</v>
      </c>
      <c r="F9" s="1">
        <v>0.0</v>
      </c>
      <c r="G9" s="1">
        <v>13.0</v>
      </c>
      <c r="H9" s="1">
        <v>1.0</v>
      </c>
      <c r="K9" s="2">
        <v>45870.0</v>
      </c>
      <c r="L9" s="1">
        <v>677.0</v>
      </c>
      <c r="M9" s="1">
        <v>578.0</v>
      </c>
      <c r="N9" s="1">
        <v>98.0</v>
      </c>
    </row>
    <row r="10">
      <c r="D10" s="2">
        <v>46096.0</v>
      </c>
      <c r="E10" s="1">
        <v>6.0</v>
      </c>
      <c r="F10" s="1">
        <v>0.0</v>
      </c>
      <c r="G10" s="1">
        <v>6.0</v>
      </c>
      <c r="H10" s="1">
        <v>0.0</v>
      </c>
      <c r="K10" s="2">
        <v>45839.0</v>
      </c>
      <c r="L10" s="1">
        <v>746.0</v>
      </c>
      <c r="M10" s="1">
        <v>651.0</v>
      </c>
      <c r="N10" s="1">
        <v>94.0</v>
      </c>
    </row>
    <row r="11">
      <c r="D11" s="2">
        <v>46095.0</v>
      </c>
      <c r="E11" s="1">
        <v>4.0</v>
      </c>
      <c r="F11" s="1">
        <v>0.0</v>
      </c>
      <c r="G11" s="1">
        <v>4.0</v>
      </c>
      <c r="H11" s="1">
        <v>0.0</v>
      </c>
      <c r="K11" s="2">
        <v>45809.0</v>
      </c>
      <c r="L11" s="1">
        <v>675.0</v>
      </c>
      <c r="M11" s="1">
        <v>591.0</v>
      </c>
      <c r="N11" s="1">
        <v>84.0</v>
      </c>
    </row>
    <row r="12">
      <c r="D12" s="2">
        <v>46094.0</v>
      </c>
      <c r="E12" s="1">
        <v>13.0</v>
      </c>
      <c r="F12" s="1">
        <v>0.0</v>
      </c>
      <c r="G12" s="1">
        <v>13.0</v>
      </c>
      <c r="H12" s="1">
        <v>0.0</v>
      </c>
      <c r="K12" s="2">
        <v>45778.0</v>
      </c>
      <c r="L12" s="1">
        <v>902.0</v>
      </c>
      <c r="M12" s="1">
        <v>847.0</v>
      </c>
      <c r="N12" s="1">
        <v>55.0</v>
      </c>
    </row>
    <row r="13">
      <c r="D13" s="2">
        <v>46093.0</v>
      </c>
      <c r="E13" s="1">
        <v>10.0</v>
      </c>
      <c r="F13" s="1">
        <v>0.0</v>
      </c>
      <c r="G13" s="1">
        <v>8.0</v>
      </c>
      <c r="H13" s="1">
        <v>2.0</v>
      </c>
      <c r="K13" s="2">
        <v>45748.0</v>
      </c>
      <c r="L13" s="1">
        <v>734.0</v>
      </c>
      <c r="M13" s="1">
        <v>679.0</v>
      </c>
      <c r="N13" s="1">
        <v>54.0</v>
      </c>
    </row>
    <row r="14">
      <c r="D14" s="2">
        <v>46092.0</v>
      </c>
      <c r="E14" s="1">
        <v>14.0</v>
      </c>
      <c r="F14" s="1">
        <v>0.0</v>
      </c>
      <c r="G14" s="1">
        <v>12.0</v>
      </c>
      <c r="H14" s="1">
        <v>2.0</v>
      </c>
      <c r="K14" s="2">
        <v>45717.0</v>
      </c>
      <c r="L14" s="1">
        <v>443.0</v>
      </c>
      <c r="M14" s="1">
        <v>410.0</v>
      </c>
      <c r="N14" s="1">
        <v>33.0</v>
      </c>
    </row>
    <row r="15">
      <c r="D15" s="2">
        <v>46091.0</v>
      </c>
      <c r="E15" s="1">
        <v>14.0</v>
      </c>
      <c r="F15" s="1">
        <v>0.0</v>
      </c>
      <c r="G15" s="1">
        <v>11.0</v>
      </c>
      <c r="H15" s="1">
        <v>3.0</v>
      </c>
      <c r="K15" s="2">
        <v>45689.0</v>
      </c>
      <c r="L15" s="1">
        <v>259.0</v>
      </c>
      <c r="M15" s="1">
        <v>239.0</v>
      </c>
      <c r="N15" s="1">
        <v>20.0</v>
      </c>
    </row>
    <row r="16">
      <c r="D16" s="2">
        <v>46090.0</v>
      </c>
      <c r="E16" s="1">
        <v>19.0</v>
      </c>
      <c r="F16" s="1">
        <v>0.0</v>
      </c>
      <c r="G16" s="1">
        <v>14.0</v>
      </c>
      <c r="H16" s="1">
        <v>5.0</v>
      </c>
      <c r="K16" s="2">
        <v>45658.0</v>
      </c>
      <c r="L16" s="1">
        <v>327.0</v>
      </c>
      <c r="M16" s="1">
        <v>292.0</v>
      </c>
      <c r="N16" s="1">
        <v>35.0</v>
      </c>
    </row>
    <row r="17">
      <c r="D17" s="2">
        <v>46089.0</v>
      </c>
      <c r="E17" s="1">
        <v>14.0</v>
      </c>
      <c r="F17" s="1">
        <v>0.0</v>
      </c>
      <c r="G17" s="1">
        <v>12.0</v>
      </c>
      <c r="H17" s="1">
        <v>2.0</v>
      </c>
      <c r="K17" s="2">
        <v>45627.0</v>
      </c>
      <c r="L17" s="1">
        <v>298.0</v>
      </c>
      <c r="M17" s="1">
        <v>274.0</v>
      </c>
      <c r="N17" s="1">
        <v>24.0</v>
      </c>
    </row>
    <row r="18">
      <c r="D18" s="2">
        <v>46088.0</v>
      </c>
      <c r="E18" s="1">
        <v>14.0</v>
      </c>
      <c r="F18" s="1">
        <v>0.0</v>
      </c>
      <c r="G18" s="1">
        <v>9.0</v>
      </c>
      <c r="H18" s="1">
        <v>5.0</v>
      </c>
      <c r="K18" s="2">
        <v>45597.0</v>
      </c>
      <c r="L18" s="1">
        <v>439.0</v>
      </c>
      <c r="M18" s="1">
        <v>409.0</v>
      </c>
      <c r="N18" s="1">
        <v>30.0</v>
      </c>
    </row>
    <row r="19">
      <c r="D19" s="2">
        <v>46087.0</v>
      </c>
      <c r="E19" s="1">
        <v>11.0</v>
      </c>
      <c r="F19" s="1">
        <v>0.0</v>
      </c>
      <c r="G19" s="1">
        <v>10.0</v>
      </c>
      <c r="H19" s="1">
        <v>1.0</v>
      </c>
      <c r="K19" s="2">
        <v>45566.0</v>
      </c>
      <c r="L19" s="1">
        <v>641.0</v>
      </c>
      <c r="M19" s="1">
        <v>589.0</v>
      </c>
      <c r="N19" s="1">
        <v>52.0</v>
      </c>
    </row>
    <row r="20">
      <c r="D20" s="2">
        <v>46086.0</v>
      </c>
      <c r="E20" s="1">
        <v>9.0</v>
      </c>
      <c r="F20" s="1">
        <v>0.0</v>
      </c>
      <c r="G20" s="1">
        <v>8.0</v>
      </c>
      <c r="H20" s="1">
        <v>1.0</v>
      </c>
      <c r="K20" s="2">
        <v>45536.0</v>
      </c>
      <c r="L20" s="1">
        <v>689.0</v>
      </c>
      <c r="M20" s="1">
        <v>622.0</v>
      </c>
      <c r="N20" s="1">
        <v>66.0</v>
      </c>
    </row>
    <row r="21">
      <c r="D21" s="2">
        <v>46085.0</v>
      </c>
      <c r="E21" s="1">
        <v>9.0</v>
      </c>
      <c r="F21" s="1">
        <v>0.0</v>
      </c>
      <c r="G21" s="1">
        <v>7.0</v>
      </c>
      <c r="H21" s="1">
        <v>2.0</v>
      </c>
      <c r="K21" s="2">
        <v>45505.0</v>
      </c>
      <c r="L21" s="1">
        <v>256.0</v>
      </c>
      <c r="M21" s="1">
        <v>211.0</v>
      </c>
      <c r="N21" s="1">
        <v>43.0</v>
      </c>
    </row>
    <row r="22">
      <c r="D22" s="2">
        <v>46084.0</v>
      </c>
      <c r="E22" s="1">
        <v>16.0</v>
      </c>
      <c r="F22" s="1">
        <v>0.0</v>
      </c>
      <c r="G22" s="1">
        <v>12.0</v>
      </c>
      <c r="H22" s="1">
        <v>4.0</v>
      </c>
      <c r="K22" s="2">
        <v>45474.0</v>
      </c>
      <c r="L22" s="1">
        <v>5.0</v>
      </c>
      <c r="M22" s="1">
        <v>1.0</v>
      </c>
      <c r="N22" s="1">
        <v>0.0</v>
      </c>
    </row>
    <row r="23">
      <c r="D23" s="2">
        <v>46083.0</v>
      </c>
      <c r="E23" s="1">
        <v>15.0</v>
      </c>
      <c r="F23" s="1">
        <v>0.0</v>
      </c>
      <c r="G23" s="1">
        <v>10.0</v>
      </c>
      <c r="H23" s="1">
        <v>5.0</v>
      </c>
    </row>
    <row r="24">
      <c r="D24" s="2">
        <v>46082.0</v>
      </c>
      <c r="E24" s="1">
        <v>11.0</v>
      </c>
      <c r="F24" s="1">
        <v>0.0</v>
      </c>
      <c r="G24" s="1">
        <v>10.0</v>
      </c>
      <c r="H24" s="1">
        <v>1.0</v>
      </c>
    </row>
    <row r="25">
      <c r="D25" s="2">
        <v>46081.0</v>
      </c>
      <c r="E25" s="1">
        <v>9.0</v>
      </c>
      <c r="F25" s="1">
        <v>0.0</v>
      </c>
      <c r="G25" s="1">
        <v>7.0</v>
      </c>
      <c r="H25" s="1">
        <v>2.0</v>
      </c>
    </row>
    <row r="26">
      <c r="D26" s="2">
        <v>46080.0</v>
      </c>
      <c r="E26" s="1">
        <v>14.0</v>
      </c>
      <c r="F26" s="1">
        <v>0.0</v>
      </c>
      <c r="G26" s="1">
        <v>13.0</v>
      </c>
      <c r="H26" s="1">
        <v>1.0</v>
      </c>
    </row>
    <row r="27">
      <c r="D27" s="2">
        <v>46079.0</v>
      </c>
      <c r="E27" s="1">
        <v>7.0</v>
      </c>
      <c r="F27" s="1">
        <v>0.0</v>
      </c>
      <c r="G27" s="1">
        <v>7.0</v>
      </c>
      <c r="H27" s="1">
        <v>0.0</v>
      </c>
    </row>
    <row r="28">
      <c r="D28" s="2">
        <v>46078.0</v>
      </c>
      <c r="E28" s="1">
        <v>16.0</v>
      </c>
      <c r="F28" s="1">
        <v>0.0</v>
      </c>
      <c r="G28" s="1">
        <v>15.0</v>
      </c>
      <c r="H28" s="1">
        <v>1.0</v>
      </c>
    </row>
    <row r="29">
      <c r="D29" s="2">
        <v>46077.0</v>
      </c>
      <c r="E29" s="1">
        <v>12.0</v>
      </c>
      <c r="F29" s="1">
        <v>0.0</v>
      </c>
      <c r="G29" s="1">
        <v>11.0</v>
      </c>
      <c r="H29" s="1">
        <v>1.0</v>
      </c>
    </row>
    <row r="30">
      <c r="D30" s="2">
        <v>46076.0</v>
      </c>
      <c r="E30" s="1">
        <v>13.0</v>
      </c>
      <c r="F30" s="1">
        <v>0.0</v>
      </c>
      <c r="G30" s="1">
        <v>10.0</v>
      </c>
      <c r="H30" s="1">
        <v>3.0</v>
      </c>
    </row>
    <row r="31">
      <c r="D31" s="2">
        <v>46075.0</v>
      </c>
      <c r="E31" s="1">
        <v>11.0</v>
      </c>
      <c r="F31" s="1">
        <v>0.0</v>
      </c>
      <c r="G31" s="1">
        <v>10.0</v>
      </c>
      <c r="H31" s="1">
        <v>1.0</v>
      </c>
    </row>
    <row r="32">
      <c r="D32" s="2">
        <v>46074.0</v>
      </c>
      <c r="E32" s="1">
        <v>6.0</v>
      </c>
      <c r="F32" s="1">
        <v>0.0</v>
      </c>
      <c r="G32" s="1">
        <v>5.0</v>
      </c>
      <c r="H32" s="1">
        <v>1.0</v>
      </c>
    </row>
    <row r="33">
      <c r="D33" s="2">
        <v>46073.0</v>
      </c>
      <c r="E33" s="1">
        <v>7.0</v>
      </c>
      <c r="F33" s="1">
        <v>0.0</v>
      </c>
      <c r="G33" s="1">
        <v>6.0</v>
      </c>
      <c r="H33" s="1">
        <v>1.0</v>
      </c>
    </row>
    <row r="34">
      <c r="D34" s="2">
        <v>46072.0</v>
      </c>
      <c r="E34" s="1">
        <v>9.0</v>
      </c>
      <c r="F34" s="1">
        <v>0.0</v>
      </c>
      <c r="G34" s="1">
        <v>9.0</v>
      </c>
      <c r="H34" s="1">
        <v>0.0</v>
      </c>
    </row>
    <row r="35">
      <c r="D35" s="2">
        <v>46071.0</v>
      </c>
      <c r="E35" s="1">
        <v>16.0</v>
      </c>
      <c r="F35" s="1">
        <v>0.0</v>
      </c>
      <c r="G35" s="1">
        <v>14.0</v>
      </c>
      <c r="H35" s="1">
        <v>2.0</v>
      </c>
    </row>
    <row r="36">
      <c r="D36" s="2">
        <v>46070.0</v>
      </c>
      <c r="E36" s="1">
        <v>9.0</v>
      </c>
      <c r="F36" s="1">
        <v>0.0</v>
      </c>
      <c r="G36" s="1">
        <v>7.0</v>
      </c>
      <c r="H36" s="1">
        <v>2.0</v>
      </c>
    </row>
    <row r="37">
      <c r="D37" s="2">
        <v>46069.0</v>
      </c>
      <c r="E37" s="1">
        <v>9.0</v>
      </c>
      <c r="F37" s="1">
        <v>0.0</v>
      </c>
      <c r="G37" s="1">
        <v>4.0</v>
      </c>
      <c r="H37" s="1">
        <v>5.0</v>
      </c>
    </row>
    <row r="38">
      <c r="D38" s="2">
        <v>46068.0</v>
      </c>
      <c r="E38" s="1">
        <v>13.0</v>
      </c>
      <c r="F38" s="1">
        <v>0.0</v>
      </c>
      <c r="G38" s="1">
        <v>10.0</v>
      </c>
      <c r="H38" s="1">
        <v>3.0</v>
      </c>
    </row>
    <row r="39">
      <c r="D39" s="2">
        <v>46067.0</v>
      </c>
      <c r="E39" s="1">
        <v>7.0</v>
      </c>
      <c r="F39" s="1">
        <v>0.0</v>
      </c>
      <c r="G39" s="1">
        <v>6.0</v>
      </c>
      <c r="H39" s="1">
        <v>1.0</v>
      </c>
    </row>
    <row r="40">
      <c r="D40" s="2">
        <v>46066.0</v>
      </c>
      <c r="E40" s="1">
        <v>6.0</v>
      </c>
      <c r="F40" s="1">
        <v>0.0</v>
      </c>
      <c r="G40" s="1">
        <v>6.0</v>
      </c>
      <c r="H40" s="1">
        <v>0.0</v>
      </c>
    </row>
    <row r="41">
      <c r="D41" s="2">
        <v>46065.0</v>
      </c>
      <c r="E41" s="1">
        <v>5.0</v>
      </c>
      <c r="F41" s="1">
        <v>0.0</v>
      </c>
      <c r="G41" s="1">
        <v>4.0</v>
      </c>
      <c r="H41" s="1">
        <v>1.0</v>
      </c>
    </row>
    <row r="42">
      <c r="D42" s="2">
        <v>46064.0</v>
      </c>
      <c r="E42" s="1">
        <v>7.0</v>
      </c>
      <c r="F42" s="1">
        <v>0.0</v>
      </c>
      <c r="G42" s="1">
        <v>6.0</v>
      </c>
      <c r="H42" s="1">
        <v>1.0</v>
      </c>
    </row>
    <row r="43">
      <c r="D43" s="2">
        <v>46063.0</v>
      </c>
      <c r="E43" s="1">
        <v>9.0</v>
      </c>
      <c r="F43" s="1">
        <v>0.0</v>
      </c>
      <c r="G43" s="1">
        <v>9.0</v>
      </c>
      <c r="H43" s="1">
        <v>0.0</v>
      </c>
    </row>
    <row r="44">
      <c r="D44" s="2">
        <v>46062.0</v>
      </c>
      <c r="E44" s="1">
        <v>8.0</v>
      </c>
      <c r="F44" s="1">
        <v>0.0</v>
      </c>
      <c r="G44" s="1">
        <v>7.0</v>
      </c>
      <c r="H44" s="1">
        <v>1.0</v>
      </c>
    </row>
    <row r="45">
      <c r="D45" s="2">
        <v>46061.0</v>
      </c>
      <c r="E45" s="1">
        <v>12.0</v>
      </c>
      <c r="F45" s="1">
        <v>0.0</v>
      </c>
      <c r="G45" s="1">
        <v>12.0</v>
      </c>
      <c r="H45" s="1">
        <v>0.0</v>
      </c>
    </row>
    <row r="46">
      <c r="D46" s="2">
        <v>46060.0</v>
      </c>
      <c r="E46" s="1">
        <v>6.0</v>
      </c>
      <c r="F46" s="1">
        <v>0.0</v>
      </c>
      <c r="G46" s="1">
        <v>6.0</v>
      </c>
      <c r="H46" s="1">
        <v>0.0</v>
      </c>
    </row>
    <row r="47">
      <c r="D47" s="2">
        <v>46059.0</v>
      </c>
      <c r="E47" s="1">
        <v>7.0</v>
      </c>
      <c r="F47" s="1">
        <v>0.0</v>
      </c>
      <c r="G47" s="1">
        <v>6.0</v>
      </c>
      <c r="H47" s="1">
        <v>1.0</v>
      </c>
    </row>
    <row r="48">
      <c r="D48" s="2">
        <v>46058.0</v>
      </c>
      <c r="E48" s="1">
        <v>12.0</v>
      </c>
      <c r="F48" s="1">
        <v>0.0</v>
      </c>
      <c r="G48" s="1">
        <v>12.0</v>
      </c>
      <c r="H48" s="1">
        <v>0.0</v>
      </c>
    </row>
    <row r="49">
      <c r="D49" s="2">
        <v>46057.0</v>
      </c>
      <c r="E49" s="1">
        <v>12.0</v>
      </c>
      <c r="F49" s="1">
        <v>0.0</v>
      </c>
      <c r="G49" s="1">
        <v>8.0</v>
      </c>
      <c r="H49" s="1">
        <v>4.0</v>
      </c>
    </row>
    <row r="50">
      <c r="D50" s="2">
        <v>46056.0</v>
      </c>
      <c r="E50" s="1">
        <v>11.0</v>
      </c>
      <c r="F50" s="1">
        <v>0.0</v>
      </c>
      <c r="G50" s="1">
        <v>10.0</v>
      </c>
      <c r="H50" s="1">
        <v>1.0</v>
      </c>
    </row>
    <row r="51">
      <c r="D51" s="2">
        <v>46055.0</v>
      </c>
      <c r="E51" s="1">
        <v>13.0</v>
      </c>
      <c r="F51" s="1">
        <v>0.0</v>
      </c>
      <c r="G51" s="1">
        <v>11.0</v>
      </c>
      <c r="H51" s="1">
        <v>2.0</v>
      </c>
    </row>
    <row r="52">
      <c r="D52" s="2">
        <v>46054.0</v>
      </c>
      <c r="E52" s="1">
        <v>6.0</v>
      </c>
      <c r="F52" s="1">
        <v>0.0</v>
      </c>
      <c r="G52" s="1">
        <v>6.0</v>
      </c>
      <c r="H52" s="1">
        <v>0.0</v>
      </c>
    </row>
    <row r="53">
      <c r="D53" s="2">
        <v>46053.0</v>
      </c>
      <c r="E53" s="1">
        <v>7.0</v>
      </c>
      <c r="F53" s="1">
        <v>0.0</v>
      </c>
      <c r="G53" s="1">
        <v>7.0</v>
      </c>
      <c r="H53" s="1">
        <v>0.0</v>
      </c>
    </row>
    <row r="54">
      <c r="D54" s="2">
        <v>46052.0</v>
      </c>
      <c r="E54" s="1">
        <v>8.0</v>
      </c>
      <c r="F54" s="1">
        <v>0.0</v>
      </c>
      <c r="G54" s="1">
        <v>8.0</v>
      </c>
      <c r="H54" s="1">
        <v>0.0</v>
      </c>
    </row>
    <row r="55">
      <c r="D55" s="2">
        <v>46051.0</v>
      </c>
      <c r="E55" s="1">
        <v>5.0</v>
      </c>
      <c r="F55" s="1">
        <v>0.0</v>
      </c>
      <c r="G55" s="1">
        <v>4.0</v>
      </c>
      <c r="H55" s="1">
        <v>1.0</v>
      </c>
    </row>
    <row r="56">
      <c r="D56" s="2">
        <v>46050.0</v>
      </c>
      <c r="E56" s="1">
        <v>8.0</v>
      </c>
      <c r="F56" s="1">
        <v>0.0</v>
      </c>
      <c r="G56" s="1">
        <v>7.0</v>
      </c>
      <c r="H56" s="1">
        <v>1.0</v>
      </c>
    </row>
    <row r="57">
      <c r="D57" s="2">
        <v>46049.0</v>
      </c>
      <c r="E57" s="1">
        <v>8.0</v>
      </c>
      <c r="F57" s="1">
        <v>0.0</v>
      </c>
      <c r="G57" s="1">
        <v>7.0</v>
      </c>
      <c r="H57" s="1">
        <v>1.0</v>
      </c>
    </row>
    <row r="58">
      <c r="D58" s="2">
        <v>46048.0</v>
      </c>
      <c r="E58" s="1">
        <v>7.0</v>
      </c>
      <c r="F58" s="1">
        <v>0.0</v>
      </c>
      <c r="G58" s="1">
        <v>7.0</v>
      </c>
      <c r="H58" s="1">
        <v>0.0</v>
      </c>
    </row>
    <row r="59">
      <c r="D59" s="2">
        <v>46047.0</v>
      </c>
      <c r="E59" s="1">
        <v>6.0</v>
      </c>
      <c r="F59" s="1">
        <v>0.0</v>
      </c>
      <c r="G59" s="1">
        <v>3.0</v>
      </c>
      <c r="H59" s="1">
        <v>3.0</v>
      </c>
    </row>
    <row r="60">
      <c r="D60" s="2">
        <v>46046.0</v>
      </c>
      <c r="E60" s="1">
        <v>7.0</v>
      </c>
      <c r="F60" s="1">
        <v>0.0</v>
      </c>
      <c r="G60" s="1">
        <v>6.0</v>
      </c>
      <c r="H60" s="1">
        <v>1.0</v>
      </c>
    </row>
    <row r="61">
      <c r="D61" s="2">
        <v>46045.0</v>
      </c>
      <c r="E61" s="1">
        <v>10.0</v>
      </c>
      <c r="F61" s="1">
        <v>0.0</v>
      </c>
      <c r="G61" s="1">
        <v>9.0</v>
      </c>
      <c r="H61" s="1">
        <v>1.0</v>
      </c>
    </row>
    <row r="62">
      <c r="D62" s="2">
        <v>46044.0</v>
      </c>
      <c r="E62" s="1">
        <v>8.0</v>
      </c>
      <c r="F62" s="1">
        <v>0.0</v>
      </c>
      <c r="G62" s="1">
        <v>6.0</v>
      </c>
      <c r="H62" s="1">
        <v>2.0</v>
      </c>
    </row>
    <row r="63">
      <c r="D63" s="2">
        <v>46043.0</v>
      </c>
      <c r="E63" s="1">
        <v>7.0</v>
      </c>
      <c r="F63" s="1">
        <v>0.0</v>
      </c>
      <c r="G63" s="1">
        <v>6.0</v>
      </c>
      <c r="H63" s="1">
        <v>1.0</v>
      </c>
    </row>
    <row r="64">
      <c r="D64" s="2">
        <v>46042.0</v>
      </c>
      <c r="E64" s="1">
        <v>8.0</v>
      </c>
      <c r="F64" s="1">
        <v>0.0</v>
      </c>
      <c r="G64" s="1">
        <v>7.0</v>
      </c>
      <c r="H64" s="1">
        <v>1.0</v>
      </c>
    </row>
    <row r="65">
      <c r="D65" s="2">
        <v>46041.0</v>
      </c>
      <c r="E65" s="1">
        <v>5.0</v>
      </c>
      <c r="F65" s="1">
        <v>0.0</v>
      </c>
      <c r="G65" s="1">
        <v>5.0</v>
      </c>
      <c r="H65" s="1">
        <v>0.0</v>
      </c>
    </row>
    <row r="66">
      <c r="D66" s="2">
        <v>46040.0</v>
      </c>
      <c r="E66" s="1">
        <v>8.0</v>
      </c>
      <c r="F66" s="1">
        <v>0.0</v>
      </c>
      <c r="G66" s="1">
        <v>6.0</v>
      </c>
      <c r="H66" s="1">
        <v>2.0</v>
      </c>
    </row>
    <row r="67">
      <c r="D67" s="2">
        <v>46039.0</v>
      </c>
      <c r="E67" s="1">
        <v>7.0</v>
      </c>
      <c r="F67" s="1">
        <v>0.0</v>
      </c>
      <c r="G67" s="1">
        <v>6.0</v>
      </c>
      <c r="H67" s="1">
        <v>1.0</v>
      </c>
    </row>
    <row r="68">
      <c r="D68" s="2">
        <v>46038.0</v>
      </c>
      <c r="E68" s="1">
        <v>6.0</v>
      </c>
      <c r="F68" s="1">
        <v>0.0</v>
      </c>
      <c r="G68" s="1">
        <v>5.0</v>
      </c>
      <c r="H68" s="1">
        <v>1.0</v>
      </c>
    </row>
    <row r="69">
      <c r="D69" s="2">
        <v>46037.0</v>
      </c>
      <c r="E69" s="1">
        <v>11.0</v>
      </c>
      <c r="F69" s="1">
        <v>0.0</v>
      </c>
      <c r="G69" s="1">
        <v>7.0</v>
      </c>
      <c r="H69" s="1">
        <v>4.0</v>
      </c>
    </row>
    <row r="70">
      <c r="D70" s="2">
        <v>46036.0</v>
      </c>
      <c r="E70" s="1">
        <v>5.0</v>
      </c>
      <c r="F70" s="1">
        <v>0.0</v>
      </c>
      <c r="G70" s="1">
        <v>5.0</v>
      </c>
      <c r="H70" s="1">
        <v>0.0</v>
      </c>
    </row>
    <row r="71">
      <c r="D71" s="2">
        <v>46035.0</v>
      </c>
      <c r="E71" s="1">
        <v>8.0</v>
      </c>
      <c r="F71" s="1">
        <v>0.0</v>
      </c>
      <c r="G71" s="1">
        <v>6.0</v>
      </c>
      <c r="H71" s="1">
        <v>2.0</v>
      </c>
    </row>
    <row r="72">
      <c r="D72" s="2">
        <v>46034.0</v>
      </c>
      <c r="E72" s="1">
        <v>8.0</v>
      </c>
      <c r="F72" s="1">
        <v>0.0</v>
      </c>
      <c r="G72" s="1">
        <v>8.0</v>
      </c>
      <c r="H72" s="1">
        <v>0.0</v>
      </c>
    </row>
    <row r="73">
      <c r="D73" s="2">
        <v>46033.0</v>
      </c>
      <c r="E73" s="1">
        <v>10.0</v>
      </c>
      <c r="F73" s="1">
        <v>0.0</v>
      </c>
      <c r="G73" s="1">
        <v>7.0</v>
      </c>
      <c r="H73" s="1">
        <v>3.0</v>
      </c>
    </row>
    <row r="74">
      <c r="D74" s="2">
        <v>46032.0</v>
      </c>
      <c r="E74" s="1">
        <v>4.0</v>
      </c>
      <c r="F74" s="1">
        <v>0.0</v>
      </c>
      <c r="G74" s="1">
        <v>2.0</v>
      </c>
      <c r="H74" s="1">
        <v>2.0</v>
      </c>
    </row>
    <row r="75">
      <c r="D75" s="2">
        <v>46031.0</v>
      </c>
      <c r="E75" s="1">
        <v>6.0</v>
      </c>
      <c r="F75" s="1">
        <v>0.0</v>
      </c>
      <c r="G75" s="1">
        <v>5.0</v>
      </c>
      <c r="H75" s="1">
        <v>1.0</v>
      </c>
    </row>
    <row r="76">
      <c r="D76" s="2">
        <v>46030.0</v>
      </c>
      <c r="E76" s="1">
        <v>9.0</v>
      </c>
      <c r="F76" s="1">
        <v>0.0</v>
      </c>
      <c r="G76" s="1">
        <v>8.0</v>
      </c>
      <c r="H76" s="1">
        <v>1.0</v>
      </c>
    </row>
    <row r="77">
      <c r="D77" s="2">
        <v>46029.0</v>
      </c>
      <c r="E77" s="1">
        <v>10.0</v>
      </c>
      <c r="F77" s="1">
        <v>0.0</v>
      </c>
      <c r="G77" s="1">
        <v>9.0</v>
      </c>
      <c r="H77" s="1">
        <v>1.0</v>
      </c>
    </row>
    <row r="78">
      <c r="D78" s="2">
        <v>46028.0</v>
      </c>
      <c r="E78" s="1">
        <v>10.0</v>
      </c>
      <c r="F78" s="1">
        <v>0.0</v>
      </c>
      <c r="G78" s="1">
        <v>9.0</v>
      </c>
      <c r="H78" s="1">
        <v>1.0</v>
      </c>
    </row>
    <row r="79">
      <c r="D79" s="2">
        <v>46027.0</v>
      </c>
      <c r="E79" s="1">
        <v>18.0</v>
      </c>
      <c r="F79" s="1">
        <v>0.0</v>
      </c>
      <c r="G79" s="1">
        <v>17.0</v>
      </c>
      <c r="H79" s="1">
        <v>1.0</v>
      </c>
    </row>
    <row r="80">
      <c r="D80" s="2">
        <v>46026.0</v>
      </c>
      <c r="E80" s="1">
        <v>12.0</v>
      </c>
      <c r="F80" s="1">
        <v>0.0</v>
      </c>
      <c r="G80" s="1">
        <v>10.0</v>
      </c>
      <c r="H80" s="1">
        <v>2.0</v>
      </c>
    </row>
    <row r="81">
      <c r="D81" s="2">
        <v>46025.0</v>
      </c>
      <c r="E81" s="1">
        <v>5.0</v>
      </c>
      <c r="F81" s="1">
        <v>0.0</v>
      </c>
      <c r="G81" s="1">
        <v>4.0</v>
      </c>
      <c r="H81" s="1">
        <v>1.0</v>
      </c>
    </row>
    <row r="82">
      <c r="D82" s="2">
        <v>46024.0</v>
      </c>
      <c r="E82" s="1">
        <v>10.0</v>
      </c>
      <c r="F82" s="1">
        <v>0.0</v>
      </c>
      <c r="G82" s="1">
        <v>9.0</v>
      </c>
      <c r="H82" s="1">
        <v>1.0</v>
      </c>
    </row>
    <row r="83">
      <c r="D83" s="2">
        <v>46023.0</v>
      </c>
      <c r="E83" s="1">
        <v>4.0</v>
      </c>
      <c r="F83" s="1">
        <v>0.0</v>
      </c>
      <c r="G83" s="1">
        <v>3.0</v>
      </c>
      <c r="H83" s="1">
        <v>1.0</v>
      </c>
    </row>
    <row r="84">
      <c r="D84" s="2">
        <v>46022.0</v>
      </c>
      <c r="E84" s="1">
        <v>8.0</v>
      </c>
      <c r="F84" s="1">
        <v>0.0</v>
      </c>
      <c r="G84" s="1">
        <v>6.0</v>
      </c>
      <c r="H84" s="1">
        <v>2.0</v>
      </c>
    </row>
    <row r="85">
      <c r="D85" s="2">
        <v>46021.0</v>
      </c>
      <c r="E85" s="1">
        <v>8.0</v>
      </c>
      <c r="F85" s="1">
        <v>0.0</v>
      </c>
      <c r="G85" s="1">
        <v>7.0</v>
      </c>
      <c r="H85" s="1">
        <v>1.0</v>
      </c>
    </row>
    <row r="86">
      <c r="D86" s="2">
        <v>46020.0</v>
      </c>
      <c r="E86" s="1">
        <v>14.0</v>
      </c>
      <c r="F86" s="1">
        <v>0.0</v>
      </c>
      <c r="G86" s="1">
        <v>13.0</v>
      </c>
      <c r="H86" s="1">
        <v>1.0</v>
      </c>
    </row>
    <row r="87">
      <c r="D87" s="2">
        <v>46019.0</v>
      </c>
      <c r="E87" s="1">
        <v>10.0</v>
      </c>
      <c r="F87" s="1">
        <v>0.0</v>
      </c>
      <c r="G87" s="1">
        <v>8.0</v>
      </c>
      <c r="H87" s="1">
        <v>2.0</v>
      </c>
    </row>
    <row r="88">
      <c r="D88" s="2">
        <v>46018.0</v>
      </c>
      <c r="E88" s="1">
        <v>7.0</v>
      </c>
      <c r="F88" s="1">
        <v>0.0</v>
      </c>
      <c r="G88" s="1">
        <v>6.0</v>
      </c>
      <c r="H88" s="1">
        <v>1.0</v>
      </c>
    </row>
    <row r="89">
      <c r="D89" s="2">
        <v>46017.0</v>
      </c>
      <c r="E89" s="1">
        <v>7.0</v>
      </c>
      <c r="F89" s="1">
        <v>0.0</v>
      </c>
      <c r="G89" s="1">
        <v>7.0</v>
      </c>
      <c r="H89" s="1">
        <v>0.0</v>
      </c>
    </row>
    <row r="90">
      <c r="D90" s="2">
        <v>46016.0</v>
      </c>
      <c r="E90" s="1">
        <v>6.0</v>
      </c>
      <c r="F90" s="1">
        <v>0.0</v>
      </c>
      <c r="G90" s="1">
        <v>4.0</v>
      </c>
      <c r="H90" s="1">
        <v>2.0</v>
      </c>
    </row>
    <row r="91">
      <c r="D91" s="2">
        <v>46015.0</v>
      </c>
      <c r="E91" s="1">
        <v>3.0</v>
      </c>
      <c r="F91" s="1">
        <v>0.0</v>
      </c>
      <c r="G91" s="1">
        <v>3.0</v>
      </c>
      <c r="H91" s="1">
        <v>0.0</v>
      </c>
    </row>
    <row r="92">
      <c r="D92" s="2">
        <v>46014.0</v>
      </c>
      <c r="E92" s="1">
        <v>3.0</v>
      </c>
      <c r="F92" s="1">
        <v>0.0</v>
      </c>
      <c r="G92" s="1">
        <v>3.0</v>
      </c>
      <c r="H92" s="1">
        <v>0.0</v>
      </c>
    </row>
    <row r="93">
      <c r="D93" s="2">
        <v>46013.0</v>
      </c>
      <c r="E93" s="1">
        <v>8.0</v>
      </c>
      <c r="F93" s="1">
        <v>0.0</v>
      </c>
      <c r="G93" s="1">
        <v>6.0</v>
      </c>
      <c r="H93" s="1">
        <v>2.0</v>
      </c>
    </row>
    <row r="94">
      <c r="D94" s="2">
        <v>46012.0</v>
      </c>
      <c r="E94" s="1">
        <v>7.0</v>
      </c>
      <c r="F94" s="1">
        <v>0.0</v>
      </c>
      <c r="G94" s="1">
        <v>6.0</v>
      </c>
      <c r="H94" s="1">
        <v>1.0</v>
      </c>
    </row>
    <row r="95">
      <c r="D95" s="2">
        <v>46011.0</v>
      </c>
      <c r="E95" s="1">
        <v>3.0</v>
      </c>
      <c r="F95" s="1">
        <v>0.0</v>
      </c>
      <c r="G95" s="1">
        <v>1.0</v>
      </c>
      <c r="H95" s="1">
        <v>2.0</v>
      </c>
    </row>
    <row r="96">
      <c r="D96" s="2">
        <v>46010.0</v>
      </c>
      <c r="E96" s="1">
        <v>6.0</v>
      </c>
      <c r="F96" s="1">
        <v>0.0</v>
      </c>
      <c r="G96" s="1">
        <v>6.0</v>
      </c>
      <c r="H96" s="1">
        <v>0.0</v>
      </c>
    </row>
    <row r="97">
      <c r="D97" s="2">
        <v>46009.0</v>
      </c>
      <c r="E97" s="1">
        <v>5.0</v>
      </c>
      <c r="F97" s="1">
        <v>0.0</v>
      </c>
      <c r="G97" s="1">
        <v>5.0</v>
      </c>
      <c r="H97" s="1">
        <v>0.0</v>
      </c>
    </row>
    <row r="98">
      <c r="D98" s="2">
        <v>46008.0</v>
      </c>
      <c r="E98" s="1">
        <v>5.0</v>
      </c>
      <c r="F98" s="1">
        <v>0.0</v>
      </c>
      <c r="G98" s="1">
        <v>4.0</v>
      </c>
      <c r="H98" s="1">
        <v>1.0</v>
      </c>
    </row>
    <row r="99">
      <c r="D99" s="2">
        <v>46007.0</v>
      </c>
      <c r="E99" s="1">
        <v>5.0</v>
      </c>
      <c r="F99" s="1">
        <v>0.0</v>
      </c>
      <c r="G99" s="1">
        <v>4.0</v>
      </c>
      <c r="H99" s="1">
        <v>1.0</v>
      </c>
    </row>
    <row r="100">
      <c r="D100" s="2">
        <v>46006.0</v>
      </c>
      <c r="E100" s="1">
        <v>7.0</v>
      </c>
      <c r="F100" s="1">
        <v>0.0</v>
      </c>
      <c r="G100" s="1">
        <v>7.0</v>
      </c>
      <c r="H100" s="1">
        <v>0.0</v>
      </c>
    </row>
    <row r="101">
      <c r="D101" s="2">
        <v>46005.0</v>
      </c>
      <c r="E101" s="1">
        <v>6.0</v>
      </c>
      <c r="F101" s="1">
        <v>0.0</v>
      </c>
      <c r="G101" s="1">
        <v>6.0</v>
      </c>
      <c r="H101" s="1">
        <v>0.0</v>
      </c>
    </row>
    <row r="102">
      <c r="D102" s="2">
        <v>46004.0</v>
      </c>
      <c r="E102" s="1">
        <v>9.0</v>
      </c>
      <c r="F102" s="1">
        <v>0.0</v>
      </c>
      <c r="G102" s="1">
        <v>8.0</v>
      </c>
      <c r="H102" s="1">
        <v>1.0</v>
      </c>
    </row>
    <row r="103">
      <c r="D103" s="2">
        <v>46003.0</v>
      </c>
      <c r="E103" s="1">
        <v>4.0</v>
      </c>
      <c r="F103" s="1">
        <v>0.0</v>
      </c>
      <c r="G103" s="1">
        <v>4.0</v>
      </c>
      <c r="H103" s="1">
        <v>0.0</v>
      </c>
    </row>
    <row r="104">
      <c r="D104" s="2">
        <v>46002.0</v>
      </c>
      <c r="E104" s="1">
        <v>3.0</v>
      </c>
      <c r="F104" s="1">
        <v>0.0</v>
      </c>
      <c r="G104" s="1">
        <v>2.0</v>
      </c>
      <c r="H104" s="1">
        <v>1.0</v>
      </c>
    </row>
    <row r="105">
      <c r="D105" s="2">
        <v>46001.0</v>
      </c>
      <c r="E105" s="1">
        <v>9.0</v>
      </c>
      <c r="F105" s="1">
        <v>0.0</v>
      </c>
      <c r="G105" s="1">
        <v>9.0</v>
      </c>
      <c r="H105" s="1">
        <v>0.0</v>
      </c>
    </row>
    <row r="106">
      <c r="D106" s="2">
        <v>46000.0</v>
      </c>
      <c r="E106" s="1">
        <v>11.0</v>
      </c>
      <c r="F106" s="1">
        <v>0.0</v>
      </c>
      <c r="G106" s="1">
        <v>10.0</v>
      </c>
      <c r="H106" s="1">
        <v>1.0</v>
      </c>
    </row>
    <row r="107">
      <c r="D107" s="2">
        <v>45999.0</v>
      </c>
      <c r="E107" s="1">
        <v>14.0</v>
      </c>
      <c r="F107" s="1">
        <v>1.0</v>
      </c>
      <c r="G107" s="1">
        <v>11.0</v>
      </c>
      <c r="H107" s="1">
        <v>2.0</v>
      </c>
    </row>
    <row r="108">
      <c r="D108" s="2">
        <v>45998.0</v>
      </c>
      <c r="E108" s="1">
        <v>4.0</v>
      </c>
      <c r="F108" s="1">
        <v>0.0</v>
      </c>
      <c r="G108" s="1">
        <v>4.0</v>
      </c>
      <c r="H108" s="1">
        <v>0.0</v>
      </c>
    </row>
    <row r="109">
      <c r="D109" s="2">
        <v>45996.0</v>
      </c>
      <c r="E109" s="1">
        <v>5.0</v>
      </c>
      <c r="F109" s="1">
        <v>0.0</v>
      </c>
      <c r="G109" s="1">
        <v>4.0</v>
      </c>
      <c r="H109" s="1">
        <v>1.0</v>
      </c>
    </row>
    <row r="110">
      <c r="D110" s="2">
        <v>45995.0</v>
      </c>
      <c r="E110" s="1">
        <v>6.0</v>
      </c>
      <c r="F110" s="1">
        <v>0.0</v>
      </c>
      <c r="G110" s="1">
        <v>6.0</v>
      </c>
      <c r="H110" s="1">
        <v>0.0</v>
      </c>
    </row>
    <row r="111">
      <c r="D111" s="2">
        <v>45994.0</v>
      </c>
      <c r="E111" s="1">
        <v>11.0</v>
      </c>
      <c r="F111" s="1">
        <v>0.0</v>
      </c>
      <c r="G111" s="1">
        <v>8.0</v>
      </c>
      <c r="H111" s="1">
        <v>3.0</v>
      </c>
    </row>
    <row r="112">
      <c r="D112" s="2">
        <v>45993.0</v>
      </c>
      <c r="E112" s="1">
        <v>6.0</v>
      </c>
      <c r="F112" s="1">
        <v>0.0</v>
      </c>
      <c r="G112" s="1">
        <v>6.0</v>
      </c>
      <c r="H112" s="1">
        <v>0.0</v>
      </c>
    </row>
    <row r="113">
      <c r="D113" s="2">
        <v>45992.0</v>
      </c>
      <c r="E113" s="1">
        <v>10.0</v>
      </c>
      <c r="F113" s="1">
        <v>0.0</v>
      </c>
      <c r="G113" s="1">
        <v>8.0</v>
      </c>
      <c r="H113" s="1">
        <v>2.0</v>
      </c>
    </row>
    <row r="114">
      <c r="D114" s="2">
        <v>45991.0</v>
      </c>
      <c r="E114" s="1">
        <v>9.0</v>
      </c>
      <c r="F114" s="1">
        <v>0.0</v>
      </c>
      <c r="G114" s="1">
        <v>7.0</v>
      </c>
      <c r="H114" s="1">
        <v>2.0</v>
      </c>
    </row>
    <row r="115">
      <c r="D115" s="2">
        <v>45990.0</v>
      </c>
      <c r="E115" s="1">
        <v>4.0</v>
      </c>
      <c r="F115" s="1">
        <v>0.0</v>
      </c>
      <c r="G115" s="1">
        <v>1.0</v>
      </c>
      <c r="H115" s="1">
        <v>3.0</v>
      </c>
    </row>
    <row r="116">
      <c r="D116" s="2">
        <v>45989.0</v>
      </c>
      <c r="E116" s="1">
        <v>7.0</v>
      </c>
      <c r="F116" s="1">
        <v>0.0</v>
      </c>
      <c r="G116" s="1">
        <v>7.0</v>
      </c>
      <c r="H116" s="1">
        <v>0.0</v>
      </c>
    </row>
    <row r="117">
      <c r="D117" s="2">
        <v>45988.0</v>
      </c>
      <c r="E117" s="1">
        <v>11.0</v>
      </c>
      <c r="F117" s="1">
        <v>0.0</v>
      </c>
      <c r="G117" s="1">
        <v>9.0</v>
      </c>
      <c r="H117" s="1">
        <v>2.0</v>
      </c>
    </row>
    <row r="118">
      <c r="D118" s="2">
        <v>45987.0</v>
      </c>
      <c r="E118" s="1">
        <v>4.0</v>
      </c>
      <c r="F118" s="1">
        <v>0.0</v>
      </c>
      <c r="G118" s="1">
        <v>3.0</v>
      </c>
      <c r="H118" s="1">
        <v>1.0</v>
      </c>
    </row>
    <row r="119">
      <c r="D119" s="2">
        <v>45986.0</v>
      </c>
      <c r="E119" s="1">
        <v>8.0</v>
      </c>
      <c r="F119" s="1">
        <v>0.0</v>
      </c>
      <c r="G119" s="1">
        <v>7.0</v>
      </c>
      <c r="H119" s="1">
        <v>1.0</v>
      </c>
    </row>
    <row r="120">
      <c r="D120" s="2">
        <v>45985.0</v>
      </c>
      <c r="E120" s="1">
        <v>12.0</v>
      </c>
      <c r="F120" s="1">
        <v>0.0</v>
      </c>
      <c r="G120" s="1">
        <v>8.0</v>
      </c>
      <c r="H120" s="1">
        <v>4.0</v>
      </c>
    </row>
    <row r="121">
      <c r="D121" s="2">
        <v>45984.0</v>
      </c>
      <c r="E121" s="1">
        <v>5.0</v>
      </c>
      <c r="F121" s="1">
        <v>0.0</v>
      </c>
      <c r="G121" s="1">
        <v>3.0</v>
      </c>
      <c r="H121" s="1">
        <v>2.0</v>
      </c>
    </row>
    <row r="122">
      <c r="D122" s="2">
        <v>45983.0</v>
      </c>
      <c r="E122" s="1">
        <v>9.0</v>
      </c>
      <c r="F122" s="1">
        <v>0.0</v>
      </c>
      <c r="G122" s="1">
        <v>9.0</v>
      </c>
      <c r="H122" s="1">
        <v>0.0</v>
      </c>
    </row>
    <row r="123">
      <c r="D123" s="2">
        <v>45982.0</v>
      </c>
      <c r="E123" s="1">
        <v>5.0</v>
      </c>
      <c r="F123" s="1">
        <v>0.0</v>
      </c>
      <c r="G123" s="1">
        <v>4.0</v>
      </c>
      <c r="H123" s="1">
        <v>1.0</v>
      </c>
    </row>
    <row r="124">
      <c r="D124" s="2">
        <v>45981.0</v>
      </c>
      <c r="E124" s="1">
        <v>11.0</v>
      </c>
      <c r="F124" s="1">
        <v>0.0</v>
      </c>
      <c r="G124" s="1">
        <v>10.0</v>
      </c>
      <c r="H124" s="1">
        <v>1.0</v>
      </c>
    </row>
    <row r="125">
      <c r="D125" s="2">
        <v>45980.0</v>
      </c>
      <c r="E125" s="1">
        <v>11.0</v>
      </c>
      <c r="F125" s="1">
        <v>0.0</v>
      </c>
      <c r="G125" s="1">
        <v>8.0</v>
      </c>
      <c r="H125" s="1">
        <v>3.0</v>
      </c>
    </row>
    <row r="126">
      <c r="D126" s="2">
        <v>45979.0</v>
      </c>
      <c r="E126" s="1">
        <v>10.0</v>
      </c>
      <c r="F126" s="1">
        <v>0.0</v>
      </c>
      <c r="G126" s="1">
        <v>8.0</v>
      </c>
      <c r="H126" s="1">
        <v>2.0</v>
      </c>
    </row>
    <row r="127">
      <c r="D127" s="2">
        <v>45978.0</v>
      </c>
      <c r="E127" s="1">
        <v>8.0</v>
      </c>
      <c r="F127" s="1">
        <v>0.0</v>
      </c>
      <c r="G127" s="1">
        <v>7.0</v>
      </c>
      <c r="H127" s="1">
        <v>1.0</v>
      </c>
    </row>
    <row r="128">
      <c r="D128" s="2">
        <v>45977.0</v>
      </c>
      <c r="E128" s="1">
        <v>4.0</v>
      </c>
      <c r="F128" s="1">
        <v>0.0</v>
      </c>
      <c r="G128" s="1">
        <v>3.0</v>
      </c>
      <c r="H128" s="1">
        <v>1.0</v>
      </c>
    </row>
    <row r="129">
      <c r="D129" s="2">
        <v>45976.0</v>
      </c>
      <c r="E129" s="1">
        <v>7.0</v>
      </c>
      <c r="F129" s="1">
        <v>0.0</v>
      </c>
      <c r="G129" s="1">
        <v>7.0</v>
      </c>
      <c r="H129" s="1">
        <v>0.0</v>
      </c>
    </row>
    <row r="130">
      <c r="D130" s="2">
        <v>45975.0</v>
      </c>
      <c r="E130" s="1">
        <v>8.0</v>
      </c>
      <c r="F130" s="1">
        <v>0.0</v>
      </c>
      <c r="G130" s="1">
        <v>7.0</v>
      </c>
      <c r="H130" s="1">
        <v>1.0</v>
      </c>
    </row>
    <row r="131">
      <c r="D131" s="2">
        <v>45974.0</v>
      </c>
      <c r="E131" s="1">
        <v>13.0</v>
      </c>
      <c r="F131" s="1">
        <v>4.0</v>
      </c>
      <c r="G131" s="1">
        <v>7.0</v>
      </c>
      <c r="H131" s="1">
        <v>2.0</v>
      </c>
    </row>
    <row r="132">
      <c r="D132" s="2">
        <v>45973.0</v>
      </c>
      <c r="E132" s="1">
        <v>8.0</v>
      </c>
      <c r="F132" s="1">
        <v>0.0</v>
      </c>
      <c r="G132" s="1">
        <v>7.0</v>
      </c>
      <c r="H132" s="1">
        <v>1.0</v>
      </c>
    </row>
    <row r="133">
      <c r="D133" s="2">
        <v>45972.0</v>
      </c>
      <c r="E133" s="1">
        <v>5.0</v>
      </c>
      <c r="F133" s="1">
        <v>0.0</v>
      </c>
      <c r="G133" s="1">
        <v>5.0</v>
      </c>
      <c r="H133" s="1">
        <v>0.0</v>
      </c>
    </row>
    <row r="134">
      <c r="D134" s="2">
        <v>45971.0</v>
      </c>
      <c r="E134" s="1">
        <v>8.0</v>
      </c>
      <c r="F134" s="1">
        <v>0.0</v>
      </c>
      <c r="G134" s="1">
        <v>8.0</v>
      </c>
      <c r="H134" s="1">
        <v>0.0</v>
      </c>
    </row>
    <row r="135">
      <c r="D135" s="2">
        <v>45970.0</v>
      </c>
      <c r="E135" s="1">
        <v>9.0</v>
      </c>
      <c r="F135" s="1">
        <v>0.0</v>
      </c>
      <c r="G135" s="1">
        <v>8.0</v>
      </c>
      <c r="H135" s="1">
        <v>1.0</v>
      </c>
    </row>
    <row r="136">
      <c r="D136" s="2">
        <v>45969.0</v>
      </c>
      <c r="E136" s="1">
        <v>3.0</v>
      </c>
      <c r="F136" s="1">
        <v>0.0</v>
      </c>
      <c r="G136" s="1">
        <v>1.0</v>
      </c>
      <c r="H136" s="1">
        <v>2.0</v>
      </c>
    </row>
    <row r="137">
      <c r="D137" s="2">
        <v>45968.0</v>
      </c>
      <c r="E137" s="1">
        <v>14.0</v>
      </c>
      <c r="F137" s="1">
        <v>0.0</v>
      </c>
      <c r="G137" s="1">
        <v>14.0</v>
      </c>
      <c r="H137" s="1">
        <v>0.0</v>
      </c>
    </row>
    <row r="138">
      <c r="D138" s="2">
        <v>45967.0</v>
      </c>
      <c r="E138" s="1">
        <v>9.0</v>
      </c>
      <c r="F138" s="1">
        <v>0.0</v>
      </c>
      <c r="G138" s="1">
        <v>8.0</v>
      </c>
      <c r="H138" s="1">
        <v>1.0</v>
      </c>
    </row>
    <row r="139">
      <c r="D139" s="2">
        <v>45966.0</v>
      </c>
      <c r="E139" s="1">
        <v>6.0</v>
      </c>
      <c r="F139" s="1">
        <v>0.0</v>
      </c>
      <c r="G139" s="1">
        <v>4.0</v>
      </c>
      <c r="H139" s="1">
        <v>2.0</v>
      </c>
    </row>
    <row r="140">
      <c r="D140" s="2">
        <v>45965.0</v>
      </c>
      <c r="E140" s="1">
        <v>16.0</v>
      </c>
      <c r="F140" s="1">
        <v>0.0</v>
      </c>
      <c r="G140" s="1">
        <v>12.0</v>
      </c>
      <c r="H140" s="1">
        <v>4.0</v>
      </c>
    </row>
    <row r="141">
      <c r="D141" s="2">
        <v>45964.0</v>
      </c>
      <c r="E141" s="1">
        <v>7.0</v>
      </c>
      <c r="F141" s="1">
        <v>0.0</v>
      </c>
      <c r="G141" s="1">
        <v>4.0</v>
      </c>
      <c r="H141" s="1">
        <v>3.0</v>
      </c>
    </row>
    <row r="142">
      <c r="D142" s="2">
        <v>45963.0</v>
      </c>
      <c r="E142" s="1">
        <v>7.0</v>
      </c>
      <c r="F142" s="1">
        <v>0.0</v>
      </c>
      <c r="G142" s="1">
        <v>7.0</v>
      </c>
      <c r="H142" s="1">
        <v>0.0</v>
      </c>
    </row>
    <row r="143">
      <c r="D143" s="2">
        <v>45962.0</v>
      </c>
      <c r="E143" s="1">
        <v>11.0</v>
      </c>
      <c r="F143" s="1">
        <v>0.0</v>
      </c>
      <c r="G143" s="1">
        <v>11.0</v>
      </c>
      <c r="H143" s="1">
        <v>0.0</v>
      </c>
    </row>
    <row r="144">
      <c r="D144" s="2">
        <v>45961.0</v>
      </c>
      <c r="E144" s="1">
        <v>10.0</v>
      </c>
      <c r="F144" s="1">
        <v>0.0</v>
      </c>
      <c r="G144" s="1">
        <v>9.0</v>
      </c>
      <c r="H144" s="1">
        <v>1.0</v>
      </c>
    </row>
    <row r="145">
      <c r="D145" s="2">
        <v>45960.0</v>
      </c>
      <c r="E145" s="1">
        <v>11.0</v>
      </c>
      <c r="F145" s="1">
        <v>0.0</v>
      </c>
      <c r="G145" s="1">
        <v>9.0</v>
      </c>
      <c r="H145" s="1">
        <v>2.0</v>
      </c>
    </row>
    <row r="146">
      <c r="D146" s="2">
        <v>45959.0</v>
      </c>
      <c r="E146" s="1">
        <v>13.0</v>
      </c>
      <c r="F146" s="1">
        <v>0.0</v>
      </c>
      <c r="G146" s="1">
        <v>11.0</v>
      </c>
      <c r="H146" s="1">
        <v>2.0</v>
      </c>
    </row>
    <row r="147">
      <c r="D147" s="2">
        <v>45958.0</v>
      </c>
      <c r="E147" s="1">
        <v>12.0</v>
      </c>
      <c r="F147" s="1">
        <v>0.0</v>
      </c>
      <c r="G147" s="1">
        <v>11.0</v>
      </c>
      <c r="H147" s="1">
        <v>1.0</v>
      </c>
    </row>
    <row r="148">
      <c r="D148" s="2">
        <v>45957.0</v>
      </c>
      <c r="E148" s="1">
        <v>11.0</v>
      </c>
      <c r="F148" s="1">
        <v>0.0</v>
      </c>
      <c r="G148" s="1">
        <v>11.0</v>
      </c>
      <c r="H148" s="1">
        <v>0.0</v>
      </c>
    </row>
    <row r="149">
      <c r="D149" s="2">
        <v>45956.0</v>
      </c>
      <c r="E149" s="1">
        <v>16.0</v>
      </c>
      <c r="F149" s="1">
        <v>0.0</v>
      </c>
      <c r="G149" s="1">
        <v>15.0</v>
      </c>
      <c r="H149" s="1">
        <v>1.0</v>
      </c>
    </row>
    <row r="150">
      <c r="D150" s="2">
        <v>45955.0</v>
      </c>
      <c r="E150" s="1">
        <v>8.0</v>
      </c>
      <c r="F150" s="1">
        <v>0.0</v>
      </c>
      <c r="G150" s="1">
        <v>8.0</v>
      </c>
      <c r="H150" s="1">
        <v>0.0</v>
      </c>
    </row>
    <row r="151">
      <c r="D151" s="2">
        <v>45954.0</v>
      </c>
      <c r="E151" s="1">
        <v>32.0</v>
      </c>
      <c r="F151" s="1">
        <v>1.0</v>
      </c>
      <c r="G151" s="1">
        <v>29.0</v>
      </c>
      <c r="H151" s="1">
        <v>2.0</v>
      </c>
    </row>
    <row r="152">
      <c r="D152" s="2">
        <v>45953.0</v>
      </c>
      <c r="E152" s="1">
        <v>28.0</v>
      </c>
      <c r="F152" s="1">
        <v>0.0</v>
      </c>
      <c r="G152" s="1">
        <v>25.0</v>
      </c>
      <c r="H152" s="1">
        <v>3.0</v>
      </c>
    </row>
    <row r="153">
      <c r="D153" s="2">
        <v>45952.0</v>
      </c>
      <c r="E153" s="1">
        <v>29.0</v>
      </c>
      <c r="F153" s="1">
        <v>0.0</v>
      </c>
      <c r="G153" s="1">
        <v>27.0</v>
      </c>
      <c r="H153" s="1">
        <v>2.0</v>
      </c>
    </row>
    <row r="154">
      <c r="D154" s="2">
        <v>45951.0</v>
      </c>
      <c r="E154" s="1">
        <v>29.0</v>
      </c>
      <c r="F154" s="1">
        <v>0.0</v>
      </c>
      <c r="G154" s="1">
        <v>27.0</v>
      </c>
      <c r="H154" s="1">
        <v>2.0</v>
      </c>
    </row>
    <row r="155">
      <c r="D155" s="2">
        <v>45950.0</v>
      </c>
      <c r="E155" s="1">
        <v>21.0</v>
      </c>
      <c r="F155" s="1">
        <v>0.0</v>
      </c>
      <c r="G155" s="1">
        <v>18.0</v>
      </c>
      <c r="H155" s="1">
        <v>3.0</v>
      </c>
    </row>
    <row r="156">
      <c r="D156" s="2">
        <v>45949.0</v>
      </c>
      <c r="E156" s="1">
        <v>18.0</v>
      </c>
      <c r="F156" s="1">
        <v>0.0</v>
      </c>
      <c r="G156" s="1">
        <v>13.0</v>
      </c>
      <c r="H156" s="1">
        <v>5.0</v>
      </c>
    </row>
    <row r="157">
      <c r="D157" s="2">
        <v>45948.0</v>
      </c>
      <c r="E157" s="1">
        <v>8.0</v>
      </c>
      <c r="F157" s="1">
        <v>0.0</v>
      </c>
      <c r="G157" s="1">
        <v>8.0</v>
      </c>
      <c r="H157" s="1">
        <v>0.0</v>
      </c>
    </row>
    <row r="158">
      <c r="D158" s="2">
        <v>45947.0</v>
      </c>
      <c r="E158" s="1">
        <v>10.0</v>
      </c>
      <c r="F158" s="1">
        <v>0.0</v>
      </c>
      <c r="G158" s="1">
        <v>9.0</v>
      </c>
      <c r="H158" s="1">
        <v>1.0</v>
      </c>
    </row>
    <row r="159">
      <c r="D159" s="2">
        <v>45946.0</v>
      </c>
      <c r="E159" s="1">
        <v>12.0</v>
      </c>
      <c r="F159" s="1">
        <v>0.0</v>
      </c>
      <c r="G159" s="1">
        <v>12.0</v>
      </c>
      <c r="H159" s="1">
        <v>0.0</v>
      </c>
    </row>
    <row r="160">
      <c r="D160" s="2">
        <v>45945.0</v>
      </c>
      <c r="E160" s="1">
        <v>13.0</v>
      </c>
      <c r="F160" s="1">
        <v>0.0</v>
      </c>
      <c r="G160" s="1">
        <v>12.0</v>
      </c>
      <c r="H160" s="1">
        <v>1.0</v>
      </c>
    </row>
    <row r="161">
      <c r="D161" s="2">
        <v>45944.0</v>
      </c>
      <c r="E161" s="1">
        <v>19.0</v>
      </c>
      <c r="F161" s="1">
        <v>0.0</v>
      </c>
      <c r="G161" s="1">
        <v>18.0</v>
      </c>
      <c r="H161" s="1">
        <v>1.0</v>
      </c>
    </row>
    <row r="162">
      <c r="D162" s="2">
        <v>45943.0</v>
      </c>
      <c r="E162" s="1">
        <v>18.0</v>
      </c>
      <c r="F162" s="1">
        <v>0.0</v>
      </c>
      <c r="G162" s="1">
        <v>17.0</v>
      </c>
      <c r="H162" s="1">
        <v>1.0</v>
      </c>
    </row>
    <row r="163">
      <c r="D163" s="2">
        <v>45942.0</v>
      </c>
      <c r="E163" s="1">
        <v>13.0</v>
      </c>
      <c r="F163" s="1">
        <v>0.0</v>
      </c>
      <c r="G163" s="1">
        <v>11.0</v>
      </c>
      <c r="H163" s="1">
        <v>2.0</v>
      </c>
    </row>
    <row r="164">
      <c r="D164" s="2">
        <v>45941.0</v>
      </c>
      <c r="E164" s="1">
        <v>7.0</v>
      </c>
      <c r="F164" s="1">
        <v>0.0</v>
      </c>
      <c r="G164" s="1">
        <v>6.0</v>
      </c>
      <c r="H164" s="1">
        <v>1.0</v>
      </c>
    </row>
    <row r="165">
      <c r="D165" s="2">
        <v>45940.0</v>
      </c>
      <c r="E165" s="1">
        <v>12.0</v>
      </c>
      <c r="F165" s="1">
        <v>0.0</v>
      </c>
      <c r="G165" s="1">
        <v>12.0</v>
      </c>
      <c r="H165" s="1">
        <v>0.0</v>
      </c>
    </row>
    <row r="166">
      <c r="D166" s="2">
        <v>45939.0</v>
      </c>
      <c r="E166" s="1">
        <v>11.0</v>
      </c>
      <c r="F166" s="1">
        <v>0.0</v>
      </c>
      <c r="G166" s="1">
        <v>11.0</v>
      </c>
      <c r="H166" s="1">
        <v>0.0</v>
      </c>
    </row>
    <row r="167">
      <c r="D167" s="2">
        <v>45938.0</v>
      </c>
      <c r="E167" s="1">
        <v>16.0</v>
      </c>
      <c r="F167" s="1">
        <v>0.0</v>
      </c>
      <c r="G167" s="1">
        <v>15.0</v>
      </c>
      <c r="H167" s="1">
        <v>1.0</v>
      </c>
    </row>
    <row r="168">
      <c r="D168" s="2">
        <v>45937.0</v>
      </c>
      <c r="E168" s="1">
        <v>14.0</v>
      </c>
      <c r="F168" s="1">
        <v>0.0</v>
      </c>
      <c r="G168" s="1">
        <v>13.0</v>
      </c>
      <c r="H168" s="1">
        <v>1.0</v>
      </c>
    </row>
    <row r="169">
      <c r="D169" s="2">
        <v>45936.0</v>
      </c>
      <c r="E169" s="1">
        <v>17.0</v>
      </c>
      <c r="F169" s="1">
        <v>0.0</v>
      </c>
      <c r="G169" s="1">
        <v>16.0</v>
      </c>
      <c r="H169" s="1">
        <v>1.0</v>
      </c>
    </row>
    <row r="170">
      <c r="D170" s="2">
        <v>45935.0</v>
      </c>
      <c r="E170" s="1">
        <v>15.0</v>
      </c>
      <c r="F170" s="1">
        <v>0.0</v>
      </c>
      <c r="G170" s="1">
        <v>13.0</v>
      </c>
      <c r="H170" s="1">
        <v>2.0</v>
      </c>
    </row>
    <row r="171">
      <c r="D171" s="2">
        <v>45934.0</v>
      </c>
      <c r="E171" s="1">
        <v>12.0</v>
      </c>
      <c r="F171" s="1">
        <v>0.0</v>
      </c>
      <c r="G171" s="1">
        <v>11.0</v>
      </c>
      <c r="H171" s="1">
        <v>1.0</v>
      </c>
    </row>
    <row r="172">
      <c r="D172" s="2">
        <v>45933.0</v>
      </c>
      <c r="E172" s="1">
        <v>14.0</v>
      </c>
      <c r="F172" s="1">
        <v>0.0</v>
      </c>
      <c r="G172" s="1">
        <v>12.0</v>
      </c>
      <c r="H172" s="1">
        <v>2.0</v>
      </c>
    </row>
    <row r="173">
      <c r="D173" s="2">
        <v>45932.0</v>
      </c>
      <c r="E173" s="1">
        <v>20.0</v>
      </c>
      <c r="F173" s="1">
        <v>0.0</v>
      </c>
      <c r="G173" s="1">
        <v>15.0</v>
      </c>
      <c r="H173" s="1">
        <v>5.0</v>
      </c>
    </row>
    <row r="174">
      <c r="D174" s="2">
        <v>45931.0</v>
      </c>
      <c r="E174" s="1">
        <v>14.0</v>
      </c>
      <c r="F174" s="1">
        <v>0.0</v>
      </c>
      <c r="G174" s="1">
        <v>12.0</v>
      </c>
      <c r="H174" s="1">
        <v>2.0</v>
      </c>
    </row>
    <row r="175">
      <c r="D175" s="2">
        <v>45930.0</v>
      </c>
      <c r="E175" s="1">
        <v>18.0</v>
      </c>
      <c r="F175" s="1">
        <v>0.0</v>
      </c>
      <c r="G175" s="1">
        <v>14.0</v>
      </c>
      <c r="H175" s="1">
        <v>4.0</v>
      </c>
    </row>
    <row r="176">
      <c r="D176" s="2">
        <v>45929.0</v>
      </c>
      <c r="E176" s="1">
        <v>17.0</v>
      </c>
      <c r="F176" s="1">
        <v>0.0</v>
      </c>
      <c r="G176" s="1">
        <v>15.0</v>
      </c>
      <c r="H176" s="1">
        <v>2.0</v>
      </c>
    </row>
    <row r="177">
      <c r="D177" s="2">
        <v>45928.0</v>
      </c>
      <c r="E177" s="1">
        <v>12.0</v>
      </c>
      <c r="F177" s="1">
        <v>0.0</v>
      </c>
      <c r="G177" s="1">
        <v>11.0</v>
      </c>
      <c r="H177" s="1">
        <v>1.0</v>
      </c>
    </row>
    <row r="178">
      <c r="D178" s="2">
        <v>45927.0</v>
      </c>
      <c r="E178" s="1">
        <v>13.0</v>
      </c>
      <c r="F178" s="1">
        <v>0.0</v>
      </c>
      <c r="G178" s="1">
        <v>11.0</v>
      </c>
      <c r="H178" s="1">
        <v>2.0</v>
      </c>
    </row>
    <row r="179">
      <c r="D179" s="2">
        <v>45926.0</v>
      </c>
      <c r="E179" s="1">
        <v>14.0</v>
      </c>
      <c r="F179" s="1">
        <v>0.0</v>
      </c>
      <c r="G179" s="1">
        <v>14.0</v>
      </c>
      <c r="H179" s="1">
        <v>0.0</v>
      </c>
    </row>
    <row r="180">
      <c r="D180" s="2">
        <v>45925.0</v>
      </c>
      <c r="E180" s="1">
        <v>26.0</v>
      </c>
      <c r="F180" s="1">
        <v>0.0</v>
      </c>
      <c r="G180" s="1">
        <v>24.0</v>
      </c>
      <c r="H180" s="1">
        <v>2.0</v>
      </c>
    </row>
    <row r="181">
      <c r="D181" s="2">
        <v>45924.0</v>
      </c>
      <c r="E181" s="1">
        <v>19.0</v>
      </c>
      <c r="F181" s="1">
        <v>0.0</v>
      </c>
      <c r="G181" s="1">
        <v>19.0</v>
      </c>
      <c r="H181" s="1">
        <v>0.0</v>
      </c>
    </row>
    <row r="182">
      <c r="D182" s="2">
        <v>45923.0</v>
      </c>
      <c r="E182" s="1">
        <v>16.0</v>
      </c>
      <c r="F182" s="1">
        <v>0.0</v>
      </c>
      <c r="G182" s="1">
        <v>14.0</v>
      </c>
      <c r="H182" s="1">
        <v>2.0</v>
      </c>
    </row>
    <row r="183">
      <c r="D183" s="2">
        <v>45922.0</v>
      </c>
      <c r="E183" s="1">
        <v>26.0</v>
      </c>
      <c r="F183" s="1">
        <v>0.0</v>
      </c>
      <c r="G183" s="1">
        <v>22.0</v>
      </c>
      <c r="H183" s="1">
        <v>4.0</v>
      </c>
    </row>
    <row r="184">
      <c r="D184" s="2">
        <v>45921.0</v>
      </c>
      <c r="E184" s="1">
        <v>23.0</v>
      </c>
      <c r="F184" s="1">
        <v>0.0</v>
      </c>
      <c r="G184" s="1">
        <v>22.0</v>
      </c>
      <c r="H184" s="1">
        <v>1.0</v>
      </c>
    </row>
    <row r="185">
      <c r="D185" s="2">
        <v>45920.0</v>
      </c>
      <c r="E185" s="1">
        <v>15.0</v>
      </c>
      <c r="F185" s="1">
        <v>0.0</v>
      </c>
      <c r="G185" s="1">
        <v>13.0</v>
      </c>
      <c r="H185" s="1">
        <v>2.0</v>
      </c>
    </row>
    <row r="186">
      <c r="D186" s="2">
        <v>45919.0</v>
      </c>
      <c r="E186" s="1">
        <v>19.0</v>
      </c>
      <c r="F186" s="1">
        <v>0.0</v>
      </c>
      <c r="G186" s="1">
        <v>15.0</v>
      </c>
      <c r="H186" s="1">
        <v>4.0</v>
      </c>
    </row>
    <row r="187">
      <c r="D187" s="2">
        <v>45918.0</v>
      </c>
      <c r="E187" s="1">
        <v>19.0</v>
      </c>
      <c r="F187" s="1">
        <v>0.0</v>
      </c>
      <c r="G187" s="1">
        <v>18.0</v>
      </c>
      <c r="H187" s="1">
        <v>1.0</v>
      </c>
    </row>
    <row r="188">
      <c r="D188" s="2">
        <v>45917.0</v>
      </c>
      <c r="E188" s="1">
        <v>21.0</v>
      </c>
      <c r="F188" s="1">
        <v>0.0</v>
      </c>
      <c r="G188" s="1">
        <v>18.0</v>
      </c>
      <c r="H188" s="1">
        <v>3.0</v>
      </c>
    </row>
    <row r="189">
      <c r="D189" s="2">
        <v>45916.0</v>
      </c>
      <c r="E189" s="1">
        <v>24.0</v>
      </c>
      <c r="F189" s="1">
        <v>0.0</v>
      </c>
      <c r="G189" s="1">
        <v>21.0</v>
      </c>
      <c r="H189" s="1">
        <v>3.0</v>
      </c>
    </row>
    <row r="190">
      <c r="D190" s="2">
        <v>45915.0</v>
      </c>
      <c r="E190" s="1">
        <v>18.0</v>
      </c>
      <c r="F190" s="1">
        <v>0.0</v>
      </c>
      <c r="G190" s="1">
        <v>16.0</v>
      </c>
      <c r="H190" s="1">
        <v>2.0</v>
      </c>
    </row>
    <row r="191">
      <c r="D191" s="2">
        <v>45914.0</v>
      </c>
      <c r="E191" s="1">
        <v>22.0</v>
      </c>
      <c r="F191" s="1">
        <v>0.0</v>
      </c>
      <c r="G191" s="1">
        <v>17.0</v>
      </c>
      <c r="H191" s="1">
        <v>5.0</v>
      </c>
    </row>
    <row r="192">
      <c r="D192" s="2">
        <v>45913.0</v>
      </c>
      <c r="E192" s="1">
        <v>14.0</v>
      </c>
      <c r="F192" s="1">
        <v>0.0</v>
      </c>
      <c r="G192" s="1">
        <v>12.0</v>
      </c>
      <c r="H192" s="1">
        <v>2.0</v>
      </c>
    </row>
    <row r="193">
      <c r="D193" s="2">
        <v>45912.0</v>
      </c>
      <c r="E193" s="1">
        <v>12.0</v>
      </c>
      <c r="F193" s="1">
        <v>0.0</v>
      </c>
      <c r="G193" s="1">
        <v>11.0</v>
      </c>
      <c r="H193" s="1">
        <v>1.0</v>
      </c>
    </row>
    <row r="194">
      <c r="D194" s="2">
        <v>45911.0</v>
      </c>
      <c r="E194" s="1">
        <v>19.0</v>
      </c>
      <c r="F194" s="1">
        <v>0.0</v>
      </c>
      <c r="G194" s="1">
        <v>18.0</v>
      </c>
      <c r="H194" s="1">
        <v>1.0</v>
      </c>
    </row>
    <row r="195">
      <c r="D195" s="2">
        <v>45910.0</v>
      </c>
      <c r="E195" s="1">
        <v>34.0</v>
      </c>
      <c r="F195" s="1">
        <v>0.0</v>
      </c>
      <c r="G195" s="1">
        <v>31.0</v>
      </c>
      <c r="H195" s="1">
        <v>3.0</v>
      </c>
    </row>
    <row r="196">
      <c r="D196" s="2">
        <v>45909.0</v>
      </c>
      <c r="E196" s="1">
        <v>17.0</v>
      </c>
      <c r="F196" s="1">
        <v>0.0</v>
      </c>
      <c r="G196" s="1">
        <v>14.0</v>
      </c>
      <c r="H196" s="1">
        <v>3.0</v>
      </c>
    </row>
    <row r="197">
      <c r="D197" s="2">
        <v>45908.0</v>
      </c>
      <c r="E197" s="1">
        <v>31.0</v>
      </c>
      <c r="F197" s="1">
        <v>0.0</v>
      </c>
      <c r="G197" s="1">
        <v>28.0</v>
      </c>
      <c r="H197" s="1">
        <v>3.0</v>
      </c>
    </row>
    <row r="198">
      <c r="D198" s="2">
        <v>45907.0</v>
      </c>
      <c r="E198" s="1">
        <v>19.0</v>
      </c>
      <c r="F198" s="1">
        <v>0.0</v>
      </c>
      <c r="G198" s="1">
        <v>17.0</v>
      </c>
      <c r="H198" s="1">
        <v>2.0</v>
      </c>
    </row>
    <row r="199">
      <c r="D199" s="2">
        <v>45906.0</v>
      </c>
      <c r="E199" s="1">
        <v>8.0</v>
      </c>
      <c r="F199" s="1">
        <v>0.0</v>
      </c>
      <c r="G199" s="1">
        <v>7.0</v>
      </c>
      <c r="H199" s="1">
        <v>1.0</v>
      </c>
    </row>
    <row r="200">
      <c r="D200" s="2">
        <v>45905.0</v>
      </c>
      <c r="E200" s="1">
        <v>22.0</v>
      </c>
      <c r="F200" s="1">
        <v>0.0</v>
      </c>
      <c r="G200" s="1">
        <v>18.0</v>
      </c>
      <c r="H200" s="1">
        <v>4.0</v>
      </c>
    </row>
    <row r="201">
      <c r="D201" s="2">
        <v>45904.0</v>
      </c>
      <c r="E201" s="1">
        <v>22.0</v>
      </c>
      <c r="F201" s="1">
        <v>0.0</v>
      </c>
      <c r="G201" s="1">
        <v>18.0</v>
      </c>
      <c r="H201" s="1">
        <v>4.0</v>
      </c>
    </row>
    <row r="202">
      <c r="D202" s="2">
        <v>45903.0</v>
      </c>
      <c r="E202" s="1">
        <v>27.0</v>
      </c>
      <c r="F202" s="1">
        <v>0.0</v>
      </c>
      <c r="G202" s="1">
        <v>23.0</v>
      </c>
      <c r="H202" s="1">
        <v>4.0</v>
      </c>
    </row>
    <row r="203">
      <c r="D203" s="2">
        <v>45902.0</v>
      </c>
      <c r="E203" s="1">
        <v>25.0</v>
      </c>
      <c r="F203" s="1">
        <v>0.0</v>
      </c>
      <c r="G203" s="1">
        <v>22.0</v>
      </c>
      <c r="H203" s="1">
        <v>3.0</v>
      </c>
    </row>
    <row r="204">
      <c r="D204" s="2">
        <v>45901.0</v>
      </c>
      <c r="E204" s="1">
        <v>23.0</v>
      </c>
      <c r="F204" s="1">
        <v>0.0</v>
      </c>
      <c r="G204" s="1">
        <v>21.0</v>
      </c>
      <c r="H204" s="1">
        <v>2.0</v>
      </c>
    </row>
    <row r="205">
      <c r="D205" s="2">
        <v>45900.0</v>
      </c>
      <c r="E205" s="1">
        <v>24.0</v>
      </c>
      <c r="F205" s="1">
        <v>0.0</v>
      </c>
      <c r="G205" s="1">
        <v>20.0</v>
      </c>
      <c r="H205" s="1">
        <v>4.0</v>
      </c>
    </row>
    <row r="206">
      <c r="D206" s="2">
        <v>45899.0</v>
      </c>
      <c r="E206" s="1">
        <v>16.0</v>
      </c>
      <c r="F206" s="1">
        <v>0.0</v>
      </c>
      <c r="G206" s="1">
        <v>13.0</v>
      </c>
      <c r="H206" s="1">
        <v>3.0</v>
      </c>
    </row>
    <row r="207">
      <c r="D207" s="2">
        <v>45898.0</v>
      </c>
      <c r="E207" s="1">
        <v>26.0</v>
      </c>
      <c r="F207" s="1">
        <v>0.0</v>
      </c>
      <c r="G207" s="1">
        <v>19.0</v>
      </c>
      <c r="H207" s="1">
        <v>7.0</v>
      </c>
    </row>
    <row r="208">
      <c r="D208" s="2">
        <v>45897.0</v>
      </c>
      <c r="E208" s="1">
        <v>21.0</v>
      </c>
      <c r="F208" s="1">
        <v>0.0</v>
      </c>
      <c r="G208" s="1">
        <v>20.0</v>
      </c>
      <c r="H208" s="1">
        <v>1.0</v>
      </c>
    </row>
    <row r="209">
      <c r="D209" s="2">
        <v>45896.0</v>
      </c>
      <c r="E209" s="1">
        <v>29.0</v>
      </c>
      <c r="F209" s="1">
        <v>0.0</v>
      </c>
      <c r="G209" s="1">
        <v>27.0</v>
      </c>
      <c r="H209" s="1">
        <v>2.0</v>
      </c>
    </row>
    <row r="210">
      <c r="D210" s="2">
        <v>45895.0</v>
      </c>
      <c r="E210" s="1">
        <v>19.0</v>
      </c>
      <c r="F210" s="1">
        <v>0.0</v>
      </c>
      <c r="G210" s="1">
        <v>15.0</v>
      </c>
      <c r="H210" s="1">
        <v>4.0</v>
      </c>
    </row>
    <row r="211">
      <c r="D211" s="2">
        <v>45894.0</v>
      </c>
      <c r="E211" s="1">
        <v>25.0</v>
      </c>
      <c r="F211" s="1">
        <v>0.0</v>
      </c>
      <c r="G211" s="1">
        <v>23.0</v>
      </c>
      <c r="H211" s="1">
        <v>2.0</v>
      </c>
    </row>
    <row r="212">
      <c r="D212" s="2">
        <v>45893.0</v>
      </c>
      <c r="E212" s="1">
        <v>15.0</v>
      </c>
      <c r="F212" s="1">
        <v>0.0</v>
      </c>
      <c r="G212" s="1">
        <v>15.0</v>
      </c>
      <c r="H212" s="1">
        <v>0.0</v>
      </c>
    </row>
    <row r="213">
      <c r="D213" s="2">
        <v>45892.0</v>
      </c>
      <c r="E213" s="1">
        <v>27.0</v>
      </c>
      <c r="F213" s="1">
        <v>0.0</v>
      </c>
      <c r="G213" s="1">
        <v>23.0</v>
      </c>
      <c r="H213" s="1">
        <v>4.0</v>
      </c>
    </row>
    <row r="214">
      <c r="D214" s="2">
        <v>45891.0</v>
      </c>
      <c r="E214" s="1">
        <v>32.0</v>
      </c>
      <c r="F214" s="1">
        <v>0.0</v>
      </c>
      <c r="G214" s="1">
        <v>27.0</v>
      </c>
      <c r="H214" s="1">
        <v>5.0</v>
      </c>
    </row>
    <row r="215">
      <c r="D215" s="2">
        <v>45890.0</v>
      </c>
      <c r="E215" s="1">
        <v>20.0</v>
      </c>
      <c r="F215" s="1">
        <v>0.0</v>
      </c>
      <c r="G215" s="1">
        <v>13.0</v>
      </c>
      <c r="H215" s="1">
        <v>7.0</v>
      </c>
    </row>
    <row r="216">
      <c r="D216" s="2">
        <v>45889.0</v>
      </c>
      <c r="E216" s="1">
        <v>19.0</v>
      </c>
      <c r="F216" s="1">
        <v>0.0</v>
      </c>
      <c r="G216" s="1">
        <v>16.0</v>
      </c>
      <c r="H216" s="1">
        <v>3.0</v>
      </c>
    </row>
    <row r="217">
      <c r="D217" s="2">
        <v>45888.0</v>
      </c>
      <c r="E217" s="1">
        <v>22.0</v>
      </c>
      <c r="F217" s="1">
        <v>0.0</v>
      </c>
      <c r="G217" s="1">
        <v>18.0</v>
      </c>
      <c r="H217" s="1">
        <v>4.0</v>
      </c>
    </row>
    <row r="218">
      <c r="D218" s="2">
        <v>45887.0</v>
      </c>
      <c r="E218" s="1">
        <v>26.0</v>
      </c>
      <c r="F218" s="1">
        <v>0.0</v>
      </c>
      <c r="G218" s="1">
        <v>20.0</v>
      </c>
      <c r="H218" s="1">
        <v>6.0</v>
      </c>
    </row>
    <row r="219">
      <c r="D219" s="2">
        <v>45886.0</v>
      </c>
      <c r="E219" s="1">
        <v>22.0</v>
      </c>
      <c r="F219" s="1">
        <v>0.0</v>
      </c>
      <c r="G219" s="1">
        <v>17.0</v>
      </c>
      <c r="H219" s="1">
        <v>5.0</v>
      </c>
    </row>
    <row r="220">
      <c r="D220" s="2">
        <v>45885.0</v>
      </c>
      <c r="E220" s="1">
        <v>19.0</v>
      </c>
      <c r="F220" s="1">
        <v>0.0</v>
      </c>
      <c r="G220" s="1">
        <v>16.0</v>
      </c>
      <c r="H220" s="1">
        <v>3.0</v>
      </c>
    </row>
    <row r="221">
      <c r="D221" s="2">
        <v>45884.0</v>
      </c>
      <c r="E221" s="1">
        <v>16.0</v>
      </c>
      <c r="F221" s="1">
        <v>0.0</v>
      </c>
      <c r="G221" s="1">
        <v>14.0</v>
      </c>
      <c r="H221" s="1">
        <v>2.0</v>
      </c>
    </row>
    <row r="222">
      <c r="D222" s="2">
        <v>45883.0</v>
      </c>
      <c r="E222" s="1">
        <v>26.0</v>
      </c>
      <c r="F222" s="1">
        <v>0.0</v>
      </c>
      <c r="G222" s="1">
        <v>23.0</v>
      </c>
      <c r="H222" s="1">
        <v>3.0</v>
      </c>
    </row>
    <row r="223">
      <c r="D223" s="2">
        <v>45882.0</v>
      </c>
      <c r="E223" s="1">
        <v>24.0</v>
      </c>
      <c r="F223" s="1">
        <v>1.0</v>
      </c>
      <c r="G223" s="1">
        <v>20.0</v>
      </c>
      <c r="H223" s="1">
        <v>3.0</v>
      </c>
    </row>
    <row r="224">
      <c r="D224" s="2">
        <v>45881.0</v>
      </c>
      <c r="E224" s="1">
        <v>21.0</v>
      </c>
      <c r="F224" s="1">
        <v>0.0</v>
      </c>
      <c r="G224" s="1">
        <v>17.0</v>
      </c>
      <c r="H224" s="1">
        <v>4.0</v>
      </c>
    </row>
    <row r="225">
      <c r="D225" s="2">
        <v>45880.0</v>
      </c>
      <c r="E225" s="1">
        <v>21.0</v>
      </c>
      <c r="F225" s="1">
        <v>0.0</v>
      </c>
      <c r="G225" s="1">
        <v>21.0</v>
      </c>
      <c r="H225" s="1">
        <v>0.0</v>
      </c>
    </row>
    <row r="226">
      <c r="D226" s="2">
        <v>45879.0</v>
      </c>
      <c r="E226" s="1">
        <v>17.0</v>
      </c>
      <c r="F226" s="1">
        <v>0.0</v>
      </c>
      <c r="G226" s="1">
        <v>14.0</v>
      </c>
      <c r="H226" s="1">
        <v>3.0</v>
      </c>
    </row>
    <row r="227">
      <c r="D227" s="2">
        <v>45878.0</v>
      </c>
      <c r="E227" s="1">
        <v>15.0</v>
      </c>
      <c r="F227" s="1">
        <v>0.0</v>
      </c>
      <c r="G227" s="1">
        <v>14.0</v>
      </c>
      <c r="H227" s="1">
        <v>1.0</v>
      </c>
    </row>
    <row r="228">
      <c r="D228" s="2">
        <v>45877.0</v>
      </c>
      <c r="E228" s="1">
        <v>18.0</v>
      </c>
      <c r="F228" s="1">
        <v>0.0</v>
      </c>
      <c r="G228" s="1">
        <v>18.0</v>
      </c>
      <c r="H228" s="1">
        <v>0.0</v>
      </c>
    </row>
    <row r="229">
      <c r="D229" s="2">
        <v>45876.0</v>
      </c>
      <c r="E229" s="1">
        <v>22.0</v>
      </c>
      <c r="F229" s="1">
        <v>0.0</v>
      </c>
      <c r="G229" s="1">
        <v>20.0</v>
      </c>
      <c r="H229" s="1">
        <v>2.0</v>
      </c>
    </row>
    <row r="230">
      <c r="D230" s="2">
        <v>45875.0</v>
      </c>
      <c r="E230" s="1">
        <v>23.0</v>
      </c>
      <c r="F230" s="1">
        <v>0.0</v>
      </c>
      <c r="G230" s="1">
        <v>19.0</v>
      </c>
      <c r="H230" s="1">
        <v>4.0</v>
      </c>
    </row>
    <row r="231">
      <c r="D231" s="2">
        <v>45874.0</v>
      </c>
      <c r="E231" s="1">
        <v>30.0</v>
      </c>
      <c r="F231" s="1">
        <v>0.0</v>
      </c>
      <c r="G231" s="1">
        <v>26.0</v>
      </c>
      <c r="H231" s="1">
        <v>4.0</v>
      </c>
    </row>
    <row r="232">
      <c r="D232" s="2">
        <v>45873.0</v>
      </c>
      <c r="E232" s="1">
        <v>23.0</v>
      </c>
      <c r="F232" s="1">
        <v>0.0</v>
      </c>
      <c r="G232" s="1">
        <v>19.0</v>
      </c>
      <c r="H232" s="1">
        <v>4.0</v>
      </c>
    </row>
    <row r="233">
      <c r="D233" s="2">
        <v>45872.0</v>
      </c>
      <c r="E233" s="1">
        <v>25.0</v>
      </c>
      <c r="F233" s="1">
        <v>0.0</v>
      </c>
      <c r="G233" s="1">
        <v>20.0</v>
      </c>
      <c r="H233" s="1">
        <v>5.0</v>
      </c>
    </row>
    <row r="234">
      <c r="D234" s="2">
        <v>45871.0</v>
      </c>
      <c r="E234" s="1">
        <v>10.0</v>
      </c>
      <c r="F234" s="1">
        <v>0.0</v>
      </c>
      <c r="G234" s="1">
        <v>8.0</v>
      </c>
      <c r="H234" s="1">
        <v>2.0</v>
      </c>
    </row>
    <row r="235">
      <c r="D235" s="2">
        <v>45870.0</v>
      </c>
      <c r="E235" s="1">
        <v>24.0</v>
      </c>
      <c r="F235" s="1">
        <v>0.0</v>
      </c>
      <c r="G235" s="1">
        <v>23.0</v>
      </c>
      <c r="H235" s="1">
        <v>1.0</v>
      </c>
    </row>
    <row r="236">
      <c r="D236" s="2">
        <v>45869.0</v>
      </c>
      <c r="E236" s="1">
        <v>17.0</v>
      </c>
      <c r="F236" s="1">
        <v>0.0</v>
      </c>
      <c r="G236" s="1">
        <v>16.0</v>
      </c>
      <c r="H236" s="1">
        <v>1.0</v>
      </c>
    </row>
    <row r="237">
      <c r="D237" s="2">
        <v>45868.0</v>
      </c>
      <c r="E237" s="1">
        <v>20.0</v>
      </c>
      <c r="F237" s="1">
        <v>0.0</v>
      </c>
      <c r="G237" s="1">
        <v>16.0</v>
      </c>
      <c r="H237" s="1">
        <v>4.0</v>
      </c>
    </row>
    <row r="238">
      <c r="D238" s="2">
        <v>45867.0</v>
      </c>
      <c r="E238" s="1">
        <v>21.0</v>
      </c>
      <c r="F238" s="1">
        <v>0.0</v>
      </c>
      <c r="G238" s="1">
        <v>16.0</v>
      </c>
      <c r="H238" s="1">
        <v>5.0</v>
      </c>
    </row>
    <row r="239">
      <c r="D239" s="2">
        <v>45866.0</v>
      </c>
      <c r="E239" s="1">
        <v>11.0</v>
      </c>
      <c r="F239" s="1">
        <v>0.0</v>
      </c>
      <c r="G239" s="1">
        <v>8.0</v>
      </c>
      <c r="H239" s="1">
        <v>3.0</v>
      </c>
    </row>
    <row r="240">
      <c r="D240" s="2">
        <v>45865.0</v>
      </c>
      <c r="E240" s="1">
        <v>15.0</v>
      </c>
      <c r="F240" s="1">
        <v>0.0</v>
      </c>
      <c r="G240" s="1">
        <v>13.0</v>
      </c>
      <c r="H240" s="1">
        <v>2.0</v>
      </c>
    </row>
    <row r="241">
      <c r="D241" s="2">
        <v>45864.0</v>
      </c>
      <c r="E241" s="1">
        <v>14.0</v>
      </c>
      <c r="F241" s="1">
        <v>0.0</v>
      </c>
      <c r="G241" s="1">
        <v>14.0</v>
      </c>
      <c r="H241" s="1">
        <v>0.0</v>
      </c>
    </row>
    <row r="242">
      <c r="D242" s="2">
        <v>45863.0</v>
      </c>
      <c r="E242" s="1">
        <v>11.0</v>
      </c>
      <c r="F242" s="1">
        <v>0.0</v>
      </c>
      <c r="G242" s="1">
        <v>10.0</v>
      </c>
      <c r="H242" s="1">
        <v>1.0</v>
      </c>
    </row>
    <row r="243">
      <c r="D243" s="2">
        <v>45862.0</v>
      </c>
      <c r="E243" s="1">
        <v>33.0</v>
      </c>
      <c r="F243" s="1">
        <v>0.0</v>
      </c>
      <c r="G243" s="1">
        <v>27.0</v>
      </c>
      <c r="H243" s="1">
        <v>6.0</v>
      </c>
    </row>
    <row r="244">
      <c r="D244" s="2">
        <v>45861.0</v>
      </c>
      <c r="E244" s="1">
        <v>29.0</v>
      </c>
      <c r="F244" s="1">
        <v>0.0</v>
      </c>
      <c r="G244" s="1">
        <v>25.0</v>
      </c>
      <c r="H244" s="1">
        <v>4.0</v>
      </c>
    </row>
    <row r="245">
      <c r="D245" s="2">
        <v>45860.0</v>
      </c>
      <c r="E245" s="1">
        <v>26.0</v>
      </c>
      <c r="F245" s="1">
        <v>0.0</v>
      </c>
      <c r="G245" s="1">
        <v>25.0</v>
      </c>
      <c r="H245" s="1">
        <v>1.0</v>
      </c>
    </row>
    <row r="246">
      <c r="D246" s="2">
        <v>45859.0</v>
      </c>
      <c r="E246" s="1">
        <v>24.0</v>
      </c>
      <c r="F246" s="1">
        <v>0.0</v>
      </c>
      <c r="G246" s="1">
        <v>19.0</v>
      </c>
      <c r="H246" s="1">
        <v>5.0</v>
      </c>
    </row>
    <row r="247">
      <c r="D247" s="2">
        <v>45858.0</v>
      </c>
      <c r="E247" s="1">
        <v>11.0</v>
      </c>
      <c r="F247" s="1">
        <v>0.0</v>
      </c>
      <c r="G247" s="1">
        <v>9.0</v>
      </c>
      <c r="H247" s="1">
        <v>2.0</v>
      </c>
    </row>
    <row r="248">
      <c r="D248" s="2">
        <v>45857.0</v>
      </c>
      <c r="E248" s="1">
        <v>17.0</v>
      </c>
      <c r="F248" s="1">
        <v>0.0</v>
      </c>
      <c r="G248" s="1">
        <v>15.0</v>
      </c>
      <c r="H248" s="1">
        <v>2.0</v>
      </c>
    </row>
    <row r="249">
      <c r="D249" s="2">
        <v>45856.0</v>
      </c>
      <c r="E249" s="1">
        <v>19.0</v>
      </c>
      <c r="F249" s="1">
        <v>0.0</v>
      </c>
      <c r="G249" s="1">
        <v>18.0</v>
      </c>
      <c r="H249" s="1">
        <v>1.0</v>
      </c>
    </row>
    <row r="250">
      <c r="D250" s="2">
        <v>45855.0</v>
      </c>
      <c r="E250" s="1">
        <v>32.0</v>
      </c>
      <c r="F250" s="1">
        <v>0.0</v>
      </c>
      <c r="G250" s="1">
        <v>28.0</v>
      </c>
      <c r="H250" s="1">
        <v>4.0</v>
      </c>
    </row>
    <row r="251">
      <c r="D251" s="2">
        <v>45854.0</v>
      </c>
      <c r="E251" s="1">
        <v>33.0</v>
      </c>
      <c r="F251" s="1">
        <v>1.0</v>
      </c>
      <c r="G251" s="1">
        <v>25.0</v>
      </c>
      <c r="H251" s="1">
        <v>7.0</v>
      </c>
    </row>
    <row r="252">
      <c r="D252" s="2">
        <v>45853.0</v>
      </c>
      <c r="E252" s="1">
        <v>30.0</v>
      </c>
      <c r="F252" s="1">
        <v>0.0</v>
      </c>
      <c r="G252" s="1">
        <v>28.0</v>
      </c>
      <c r="H252" s="1">
        <v>2.0</v>
      </c>
    </row>
    <row r="253">
      <c r="D253" s="2">
        <v>45852.0</v>
      </c>
      <c r="E253" s="1">
        <v>25.0</v>
      </c>
      <c r="F253" s="1">
        <v>0.0</v>
      </c>
      <c r="G253" s="1">
        <v>23.0</v>
      </c>
      <c r="H253" s="1">
        <v>2.0</v>
      </c>
    </row>
    <row r="254">
      <c r="D254" s="2">
        <v>45851.0</v>
      </c>
      <c r="E254" s="1">
        <v>18.0</v>
      </c>
      <c r="F254" s="1">
        <v>0.0</v>
      </c>
      <c r="G254" s="1">
        <v>16.0</v>
      </c>
      <c r="H254" s="1">
        <v>2.0</v>
      </c>
    </row>
    <row r="255">
      <c r="D255" s="2">
        <v>45850.0</v>
      </c>
      <c r="E255" s="1">
        <v>16.0</v>
      </c>
      <c r="F255" s="1">
        <v>0.0</v>
      </c>
      <c r="G255" s="1">
        <v>13.0</v>
      </c>
      <c r="H255" s="1">
        <v>3.0</v>
      </c>
    </row>
    <row r="256">
      <c r="D256" s="2">
        <v>45849.0</v>
      </c>
      <c r="E256" s="1">
        <v>28.0</v>
      </c>
      <c r="F256" s="1">
        <v>0.0</v>
      </c>
      <c r="G256" s="1">
        <v>22.0</v>
      </c>
      <c r="H256" s="1">
        <v>6.0</v>
      </c>
    </row>
    <row r="257">
      <c r="D257" s="2">
        <v>45848.0</v>
      </c>
      <c r="E257" s="1">
        <v>25.0</v>
      </c>
      <c r="F257" s="1">
        <v>0.0</v>
      </c>
      <c r="G257" s="1">
        <v>23.0</v>
      </c>
      <c r="H257" s="1">
        <v>2.0</v>
      </c>
    </row>
    <row r="258">
      <c r="D258" s="2">
        <v>45847.0</v>
      </c>
      <c r="E258" s="1">
        <v>39.0</v>
      </c>
      <c r="F258" s="1">
        <v>0.0</v>
      </c>
      <c r="G258" s="1">
        <v>32.0</v>
      </c>
      <c r="H258" s="1">
        <v>7.0</v>
      </c>
    </row>
    <row r="259">
      <c r="D259" s="2">
        <v>45846.0</v>
      </c>
      <c r="E259" s="1">
        <v>35.0</v>
      </c>
      <c r="F259" s="1">
        <v>0.0</v>
      </c>
      <c r="G259" s="1">
        <v>31.0</v>
      </c>
      <c r="H259" s="1">
        <v>4.0</v>
      </c>
    </row>
    <row r="260">
      <c r="D260" s="2">
        <v>45845.0</v>
      </c>
      <c r="E260" s="1">
        <v>51.0</v>
      </c>
      <c r="F260" s="1">
        <v>0.0</v>
      </c>
      <c r="G260" s="1">
        <v>46.0</v>
      </c>
      <c r="H260" s="1">
        <v>5.0</v>
      </c>
    </row>
    <row r="261">
      <c r="D261" s="2">
        <v>45844.0</v>
      </c>
      <c r="E261" s="1">
        <v>31.0</v>
      </c>
      <c r="F261" s="1">
        <v>0.0</v>
      </c>
      <c r="G261" s="1">
        <v>26.0</v>
      </c>
      <c r="H261" s="1">
        <v>5.0</v>
      </c>
    </row>
    <row r="262">
      <c r="D262" s="2">
        <v>45843.0</v>
      </c>
      <c r="E262" s="1">
        <v>12.0</v>
      </c>
      <c r="F262" s="1">
        <v>0.0</v>
      </c>
      <c r="G262" s="1">
        <v>11.0</v>
      </c>
      <c r="H262" s="1">
        <v>1.0</v>
      </c>
    </row>
    <row r="263">
      <c r="D263" s="2">
        <v>45842.0</v>
      </c>
      <c r="E263" s="1">
        <v>25.0</v>
      </c>
      <c r="F263" s="1">
        <v>0.0</v>
      </c>
      <c r="G263" s="1">
        <v>24.0</v>
      </c>
      <c r="H263" s="1">
        <v>1.0</v>
      </c>
    </row>
    <row r="264">
      <c r="D264" s="2">
        <v>45841.0</v>
      </c>
      <c r="E264" s="1">
        <v>29.0</v>
      </c>
      <c r="F264" s="1">
        <v>0.0</v>
      </c>
      <c r="G264" s="1">
        <v>27.0</v>
      </c>
      <c r="H264" s="1">
        <v>2.0</v>
      </c>
    </row>
    <row r="265">
      <c r="D265" s="2">
        <v>45840.0</v>
      </c>
      <c r="E265" s="1">
        <v>26.0</v>
      </c>
      <c r="F265" s="1">
        <v>0.0</v>
      </c>
      <c r="G265" s="1">
        <v>24.0</v>
      </c>
      <c r="H265" s="1">
        <v>2.0</v>
      </c>
    </row>
    <row r="266">
      <c r="D266" s="2">
        <v>45839.0</v>
      </c>
      <c r="E266" s="1">
        <v>23.0</v>
      </c>
      <c r="F266" s="1">
        <v>0.0</v>
      </c>
      <c r="G266" s="1">
        <v>21.0</v>
      </c>
      <c r="H266" s="1">
        <v>2.0</v>
      </c>
    </row>
    <row r="267">
      <c r="D267" s="2">
        <v>45838.0</v>
      </c>
      <c r="E267" s="1">
        <v>21.0</v>
      </c>
      <c r="F267" s="1">
        <v>0.0</v>
      </c>
      <c r="G267" s="1">
        <v>15.0</v>
      </c>
      <c r="H267" s="1">
        <v>6.0</v>
      </c>
    </row>
    <row r="268">
      <c r="D268" s="2">
        <v>45837.0</v>
      </c>
      <c r="E268" s="1">
        <v>13.0</v>
      </c>
      <c r="F268" s="1">
        <v>0.0</v>
      </c>
      <c r="G268" s="1">
        <v>12.0</v>
      </c>
      <c r="H268" s="1">
        <v>1.0</v>
      </c>
    </row>
    <row r="269">
      <c r="D269" s="2">
        <v>45836.0</v>
      </c>
      <c r="E269" s="1">
        <v>15.0</v>
      </c>
      <c r="F269" s="1">
        <v>0.0</v>
      </c>
      <c r="G269" s="1">
        <v>14.0</v>
      </c>
      <c r="H269" s="1">
        <v>1.0</v>
      </c>
    </row>
    <row r="270">
      <c r="D270" s="2">
        <v>45835.0</v>
      </c>
      <c r="E270" s="1">
        <v>16.0</v>
      </c>
      <c r="F270" s="1">
        <v>0.0</v>
      </c>
      <c r="G270" s="1">
        <v>15.0</v>
      </c>
      <c r="H270" s="1">
        <v>1.0</v>
      </c>
    </row>
    <row r="271">
      <c r="D271" s="2">
        <v>45834.0</v>
      </c>
      <c r="E271" s="1">
        <v>21.0</v>
      </c>
      <c r="F271" s="1">
        <v>0.0</v>
      </c>
      <c r="G271" s="1">
        <v>18.0</v>
      </c>
      <c r="H271" s="1">
        <v>3.0</v>
      </c>
    </row>
    <row r="272">
      <c r="D272" s="2">
        <v>45833.0</v>
      </c>
      <c r="E272" s="1">
        <v>24.0</v>
      </c>
      <c r="F272" s="1">
        <v>0.0</v>
      </c>
      <c r="G272" s="1">
        <v>23.0</v>
      </c>
      <c r="H272" s="1">
        <v>1.0</v>
      </c>
    </row>
    <row r="273">
      <c r="D273" s="2">
        <v>45832.0</v>
      </c>
      <c r="E273" s="1">
        <v>28.0</v>
      </c>
      <c r="F273" s="1">
        <v>0.0</v>
      </c>
      <c r="G273" s="1">
        <v>21.0</v>
      </c>
      <c r="H273" s="1">
        <v>7.0</v>
      </c>
    </row>
    <row r="274">
      <c r="D274" s="2">
        <v>45831.0</v>
      </c>
      <c r="E274" s="1">
        <v>35.0</v>
      </c>
      <c r="F274" s="1">
        <v>0.0</v>
      </c>
      <c r="G274" s="1">
        <v>31.0</v>
      </c>
      <c r="H274" s="1">
        <v>4.0</v>
      </c>
    </row>
    <row r="275">
      <c r="D275" s="2">
        <v>45830.0</v>
      </c>
      <c r="E275" s="1">
        <v>29.0</v>
      </c>
      <c r="F275" s="1">
        <v>0.0</v>
      </c>
      <c r="G275" s="1">
        <v>25.0</v>
      </c>
      <c r="H275" s="1">
        <v>4.0</v>
      </c>
    </row>
    <row r="276">
      <c r="D276" s="2">
        <v>45829.0</v>
      </c>
      <c r="E276" s="1">
        <v>17.0</v>
      </c>
      <c r="F276" s="1">
        <v>0.0</v>
      </c>
      <c r="G276" s="1">
        <v>14.0</v>
      </c>
      <c r="H276" s="1">
        <v>3.0</v>
      </c>
    </row>
    <row r="277">
      <c r="D277" s="2">
        <v>45828.0</v>
      </c>
      <c r="E277" s="1">
        <v>14.0</v>
      </c>
      <c r="F277" s="1">
        <v>0.0</v>
      </c>
      <c r="G277" s="1">
        <v>14.0</v>
      </c>
      <c r="H277" s="1">
        <v>0.0</v>
      </c>
    </row>
    <row r="278">
      <c r="D278" s="2">
        <v>45827.0</v>
      </c>
      <c r="E278" s="1">
        <v>28.0</v>
      </c>
      <c r="F278" s="1">
        <v>0.0</v>
      </c>
      <c r="G278" s="1">
        <v>23.0</v>
      </c>
      <c r="H278" s="1">
        <v>5.0</v>
      </c>
    </row>
    <row r="279">
      <c r="D279" s="2">
        <v>45826.0</v>
      </c>
      <c r="E279" s="1">
        <v>19.0</v>
      </c>
      <c r="F279" s="1">
        <v>0.0</v>
      </c>
      <c r="G279" s="1">
        <v>18.0</v>
      </c>
      <c r="H279" s="1">
        <v>1.0</v>
      </c>
    </row>
    <row r="280">
      <c r="D280" s="2">
        <v>45825.0</v>
      </c>
      <c r="E280" s="1">
        <v>27.0</v>
      </c>
      <c r="F280" s="1">
        <v>0.0</v>
      </c>
      <c r="G280" s="1">
        <v>24.0</v>
      </c>
      <c r="H280" s="1">
        <v>3.0</v>
      </c>
    </row>
    <row r="281">
      <c r="D281" s="2">
        <v>45824.0</v>
      </c>
      <c r="E281" s="1">
        <v>25.0</v>
      </c>
      <c r="F281" s="1">
        <v>0.0</v>
      </c>
      <c r="G281" s="1">
        <v>23.0</v>
      </c>
      <c r="H281" s="1">
        <v>2.0</v>
      </c>
    </row>
    <row r="282">
      <c r="D282" s="2">
        <v>45823.0</v>
      </c>
      <c r="E282" s="1">
        <v>26.0</v>
      </c>
      <c r="F282" s="1">
        <v>0.0</v>
      </c>
      <c r="G282" s="1">
        <v>22.0</v>
      </c>
      <c r="H282" s="1">
        <v>4.0</v>
      </c>
    </row>
    <row r="283">
      <c r="D283" s="2">
        <v>45822.0</v>
      </c>
      <c r="E283" s="1">
        <v>23.0</v>
      </c>
      <c r="F283" s="1">
        <v>0.0</v>
      </c>
      <c r="G283" s="1">
        <v>21.0</v>
      </c>
      <c r="H283" s="1">
        <v>2.0</v>
      </c>
    </row>
    <row r="284">
      <c r="D284" s="2">
        <v>45821.0</v>
      </c>
      <c r="E284" s="1">
        <v>16.0</v>
      </c>
      <c r="F284" s="1">
        <v>0.0</v>
      </c>
      <c r="G284" s="1">
        <v>14.0</v>
      </c>
      <c r="H284" s="1">
        <v>2.0</v>
      </c>
    </row>
    <row r="285">
      <c r="D285" s="2">
        <v>45820.0</v>
      </c>
      <c r="E285" s="1">
        <v>36.0</v>
      </c>
      <c r="F285" s="1">
        <v>0.0</v>
      </c>
      <c r="G285" s="1">
        <v>29.0</v>
      </c>
      <c r="H285" s="1">
        <v>7.0</v>
      </c>
    </row>
    <row r="286">
      <c r="D286" s="2">
        <v>45819.0</v>
      </c>
      <c r="E286" s="1">
        <v>19.0</v>
      </c>
      <c r="F286" s="1">
        <v>0.0</v>
      </c>
      <c r="G286" s="1">
        <v>17.0</v>
      </c>
      <c r="H286" s="1">
        <v>2.0</v>
      </c>
    </row>
    <row r="287">
      <c r="D287" s="2">
        <v>45818.0</v>
      </c>
      <c r="E287" s="1">
        <v>23.0</v>
      </c>
      <c r="F287" s="1">
        <v>0.0</v>
      </c>
      <c r="G287" s="1">
        <v>20.0</v>
      </c>
      <c r="H287" s="1">
        <v>3.0</v>
      </c>
    </row>
    <row r="288">
      <c r="D288" s="2">
        <v>45817.0</v>
      </c>
      <c r="E288" s="1">
        <v>26.0</v>
      </c>
      <c r="F288" s="1">
        <v>0.0</v>
      </c>
      <c r="G288" s="1">
        <v>22.0</v>
      </c>
      <c r="H288" s="1">
        <v>4.0</v>
      </c>
    </row>
    <row r="289">
      <c r="D289" s="2">
        <v>45816.0</v>
      </c>
      <c r="E289" s="1">
        <v>18.0</v>
      </c>
      <c r="F289" s="1">
        <v>0.0</v>
      </c>
      <c r="G289" s="1">
        <v>17.0</v>
      </c>
      <c r="H289" s="1">
        <v>1.0</v>
      </c>
    </row>
    <row r="290">
      <c r="D290" s="2">
        <v>45815.0</v>
      </c>
      <c r="E290" s="1">
        <v>14.0</v>
      </c>
      <c r="F290" s="1">
        <v>0.0</v>
      </c>
      <c r="G290" s="1">
        <v>12.0</v>
      </c>
      <c r="H290" s="1">
        <v>2.0</v>
      </c>
    </row>
    <row r="291">
      <c r="D291" s="2">
        <v>45814.0</v>
      </c>
      <c r="E291" s="1">
        <v>20.0</v>
      </c>
      <c r="F291" s="1">
        <v>0.0</v>
      </c>
      <c r="G291" s="1">
        <v>19.0</v>
      </c>
      <c r="H291" s="1">
        <v>1.0</v>
      </c>
    </row>
    <row r="292">
      <c r="D292" s="2">
        <v>45813.0</v>
      </c>
      <c r="E292" s="1">
        <v>22.0</v>
      </c>
      <c r="F292" s="1">
        <v>0.0</v>
      </c>
      <c r="G292" s="1">
        <v>18.0</v>
      </c>
      <c r="H292" s="1">
        <v>4.0</v>
      </c>
    </row>
    <row r="293">
      <c r="D293" s="2">
        <v>45812.0</v>
      </c>
      <c r="E293" s="1">
        <v>28.0</v>
      </c>
      <c r="F293" s="1">
        <v>0.0</v>
      </c>
      <c r="G293" s="1">
        <v>23.0</v>
      </c>
      <c r="H293" s="1">
        <v>5.0</v>
      </c>
    </row>
    <row r="294">
      <c r="D294" s="2">
        <v>45811.0</v>
      </c>
      <c r="E294" s="1">
        <v>31.0</v>
      </c>
      <c r="F294" s="1">
        <v>0.0</v>
      </c>
      <c r="G294" s="1">
        <v>30.0</v>
      </c>
      <c r="H294" s="1">
        <v>1.0</v>
      </c>
    </row>
    <row r="295">
      <c r="D295" s="2">
        <v>45810.0</v>
      </c>
      <c r="E295" s="1">
        <v>29.0</v>
      </c>
      <c r="F295" s="1">
        <v>0.0</v>
      </c>
      <c r="G295" s="1">
        <v>26.0</v>
      </c>
      <c r="H295" s="1">
        <v>3.0</v>
      </c>
    </row>
    <row r="296">
      <c r="D296" s="2">
        <v>45809.0</v>
      </c>
      <c r="E296" s="1">
        <v>12.0</v>
      </c>
      <c r="F296" s="1">
        <v>0.0</v>
      </c>
      <c r="G296" s="1">
        <v>11.0</v>
      </c>
      <c r="H296" s="1">
        <v>1.0</v>
      </c>
    </row>
    <row r="297">
      <c r="D297" s="2">
        <v>45808.0</v>
      </c>
      <c r="E297" s="1">
        <v>35.0</v>
      </c>
      <c r="F297" s="1">
        <v>0.0</v>
      </c>
      <c r="G297" s="1">
        <v>30.0</v>
      </c>
      <c r="H297" s="1">
        <v>5.0</v>
      </c>
    </row>
    <row r="298">
      <c r="D298" s="2">
        <v>45807.0</v>
      </c>
      <c r="E298" s="1">
        <v>26.0</v>
      </c>
      <c r="F298" s="1">
        <v>0.0</v>
      </c>
      <c r="G298" s="1">
        <v>25.0</v>
      </c>
      <c r="H298" s="1">
        <v>1.0</v>
      </c>
    </row>
    <row r="299">
      <c r="D299" s="2">
        <v>45806.0</v>
      </c>
      <c r="E299" s="1">
        <v>32.0</v>
      </c>
      <c r="F299" s="1">
        <v>0.0</v>
      </c>
      <c r="G299" s="1">
        <v>29.0</v>
      </c>
      <c r="H299" s="1">
        <v>3.0</v>
      </c>
    </row>
    <row r="300">
      <c r="D300" s="2">
        <v>45805.0</v>
      </c>
      <c r="E300" s="1">
        <v>32.0</v>
      </c>
      <c r="F300" s="1">
        <v>0.0</v>
      </c>
      <c r="G300" s="1">
        <v>30.0</v>
      </c>
      <c r="H300" s="1">
        <v>2.0</v>
      </c>
    </row>
    <row r="301">
      <c r="D301" s="2">
        <v>45804.0</v>
      </c>
      <c r="E301" s="1">
        <v>31.0</v>
      </c>
      <c r="F301" s="1">
        <v>0.0</v>
      </c>
      <c r="G301" s="1">
        <v>28.0</v>
      </c>
      <c r="H301" s="1">
        <v>3.0</v>
      </c>
    </row>
    <row r="302">
      <c r="D302" s="2">
        <v>45803.0</v>
      </c>
      <c r="E302" s="1">
        <v>33.0</v>
      </c>
      <c r="F302" s="1">
        <v>0.0</v>
      </c>
      <c r="G302" s="1">
        <v>30.0</v>
      </c>
      <c r="H302" s="1">
        <v>3.0</v>
      </c>
    </row>
    <row r="303">
      <c r="D303" s="2">
        <v>45802.0</v>
      </c>
      <c r="E303" s="1">
        <v>22.0</v>
      </c>
      <c r="F303" s="1">
        <v>0.0</v>
      </c>
      <c r="G303" s="1">
        <v>20.0</v>
      </c>
      <c r="H303" s="1">
        <v>2.0</v>
      </c>
    </row>
    <row r="304">
      <c r="D304" s="2">
        <v>45801.0</v>
      </c>
      <c r="E304" s="1">
        <v>22.0</v>
      </c>
      <c r="F304" s="1">
        <v>0.0</v>
      </c>
      <c r="G304" s="1">
        <v>20.0</v>
      </c>
      <c r="H304" s="1">
        <v>2.0</v>
      </c>
    </row>
    <row r="305">
      <c r="D305" s="2">
        <v>45800.0</v>
      </c>
      <c r="E305" s="1">
        <v>24.0</v>
      </c>
      <c r="F305" s="1">
        <v>0.0</v>
      </c>
      <c r="G305" s="1">
        <v>24.0</v>
      </c>
      <c r="H305" s="1">
        <v>0.0</v>
      </c>
    </row>
    <row r="306">
      <c r="D306" s="2">
        <v>45799.0</v>
      </c>
      <c r="E306" s="1">
        <v>27.0</v>
      </c>
      <c r="F306" s="1">
        <v>0.0</v>
      </c>
      <c r="G306" s="1">
        <v>25.0</v>
      </c>
      <c r="H306" s="1">
        <v>2.0</v>
      </c>
    </row>
    <row r="307">
      <c r="D307" s="2">
        <v>45798.0</v>
      </c>
      <c r="E307" s="1">
        <v>36.0</v>
      </c>
      <c r="F307" s="1">
        <v>0.0</v>
      </c>
      <c r="G307" s="1">
        <v>34.0</v>
      </c>
      <c r="H307" s="1">
        <v>2.0</v>
      </c>
    </row>
    <row r="308">
      <c r="D308" s="2">
        <v>45797.0</v>
      </c>
      <c r="E308" s="1">
        <v>21.0</v>
      </c>
      <c r="F308" s="1">
        <v>0.0</v>
      </c>
      <c r="G308" s="1">
        <v>20.0</v>
      </c>
      <c r="H308" s="1">
        <v>1.0</v>
      </c>
    </row>
    <row r="309">
      <c r="D309" s="2">
        <v>45796.0</v>
      </c>
      <c r="E309" s="1">
        <v>22.0</v>
      </c>
      <c r="F309" s="1">
        <v>0.0</v>
      </c>
      <c r="G309" s="1">
        <v>21.0</v>
      </c>
      <c r="H309" s="1">
        <v>1.0</v>
      </c>
    </row>
    <row r="310">
      <c r="D310" s="2">
        <v>45795.0</v>
      </c>
      <c r="E310" s="1">
        <v>27.0</v>
      </c>
      <c r="F310" s="1">
        <v>0.0</v>
      </c>
      <c r="G310" s="1">
        <v>26.0</v>
      </c>
      <c r="H310" s="1">
        <v>1.0</v>
      </c>
    </row>
    <row r="311">
      <c r="D311" s="2">
        <v>45794.0</v>
      </c>
      <c r="E311" s="1">
        <v>30.0</v>
      </c>
      <c r="F311" s="1">
        <v>0.0</v>
      </c>
      <c r="G311" s="1">
        <v>29.0</v>
      </c>
      <c r="H311" s="1">
        <v>1.0</v>
      </c>
    </row>
    <row r="312">
      <c r="D312" s="2">
        <v>45793.0</v>
      </c>
      <c r="E312" s="1">
        <v>24.0</v>
      </c>
      <c r="F312" s="1">
        <v>0.0</v>
      </c>
      <c r="G312" s="1">
        <v>24.0</v>
      </c>
      <c r="H312" s="1">
        <v>0.0</v>
      </c>
    </row>
    <row r="313">
      <c r="D313" s="2">
        <v>45792.0</v>
      </c>
      <c r="E313" s="1">
        <v>34.0</v>
      </c>
      <c r="F313" s="1">
        <v>0.0</v>
      </c>
      <c r="G313" s="1">
        <v>31.0</v>
      </c>
      <c r="H313" s="1">
        <v>3.0</v>
      </c>
    </row>
    <row r="314">
      <c r="D314" s="2">
        <v>45791.0</v>
      </c>
      <c r="E314" s="1">
        <v>35.0</v>
      </c>
      <c r="F314" s="1">
        <v>0.0</v>
      </c>
      <c r="G314" s="1">
        <v>34.0</v>
      </c>
      <c r="H314" s="1">
        <v>1.0</v>
      </c>
    </row>
    <row r="315">
      <c r="D315" s="2">
        <v>45790.0</v>
      </c>
      <c r="E315" s="1">
        <v>26.0</v>
      </c>
      <c r="F315" s="1">
        <v>0.0</v>
      </c>
      <c r="G315" s="1">
        <v>25.0</v>
      </c>
      <c r="H315" s="1">
        <v>1.0</v>
      </c>
    </row>
    <row r="316">
      <c r="D316" s="2">
        <v>45789.0</v>
      </c>
      <c r="E316" s="1">
        <v>44.0</v>
      </c>
      <c r="F316" s="1">
        <v>0.0</v>
      </c>
      <c r="G316" s="1">
        <v>41.0</v>
      </c>
      <c r="H316" s="1">
        <v>3.0</v>
      </c>
    </row>
    <row r="317">
      <c r="D317" s="2">
        <v>45788.0</v>
      </c>
      <c r="E317" s="1">
        <v>26.0</v>
      </c>
      <c r="F317" s="1">
        <v>0.0</v>
      </c>
      <c r="G317" s="1">
        <v>24.0</v>
      </c>
      <c r="H317" s="1">
        <v>2.0</v>
      </c>
    </row>
    <row r="318">
      <c r="D318" s="2">
        <v>45787.0</v>
      </c>
      <c r="E318" s="1">
        <v>27.0</v>
      </c>
      <c r="F318" s="1">
        <v>0.0</v>
      </c>
      <c r="G318" s="1">
        <v>25.0</v>
      </c>
      <c r="H318" s="1">
        <v>2.0</v>
      </c>
    </row>
    <row r="319">
      <c r="D319" s="2">
        <v>45786.0</v>
      </c>
      <c r="E319" s="1">
        <v>21.0</v>
      </c>
      <c r="F319" s="1">
        <v>0.0</v>
      </c>
      <c r="G319" s="1">
        <v>21.0</v>
      </c>
      <c r="H319" s="1">
        <v>0.0</v>
      </c>
    </row>
    <row r="320">
      <c r="D320" s="2">
        <v>45785.0</v>
      </c>
      <c r="E320" s="1">
        <v>30.0</v>
      </c>
      <c r="F320" s="1">
        <v>0.0</v>
      </c>
      <c r="G320" s="1">
        <v>29.0</v>
      </c>
      <c r="H320" s="1">
        <v>1.0</v>
      </c>
    </row>
    <row r="321">
      <c r="D321" s="2">
        <v>45784.0</v>
      </c>
      <c r="E321" s="1">
        <v>29.0</v>
      </c>
      <c r="F321" s="1">
        <v>0.0</v>
      </c>
      <c r="G321" s="1">
        <v>26.0</v>
      </c>
      <c r="H321" s="1">
        <v>3.0</v>
      </c>
    </row>
    <row r="322">
      <c r="D322" s="2">
        <v>45783.0</v>
      </c>
      <c r="E322" s="1">
        <v>29.0</v>
      </c>
      <c r="F322" s="1">
        <v>0.0</v>
      </c>
      <c r="G322" s="1">
        <v>29.0</v>
      </c>
      <c r="H322" s="1">
        <v>0.0</v>
      </c>
    </row>
    <row r="323">
      <c r="D323" s="2">
        <v>45782.0</v>
      </c>
      <c r="E323" s="1">
        <v>50.0</v>
      </c>
      <c r="F323" s="1">
        <v>0.0</v>
      </c>
      <c r="G323" s="1">
        <v>47.0</v>
      </c>
      <c r="H323" s="1">
        <v>3.0</v>
      </c>
    </row>
    <row r="324">
      <c r="D324" s="2">
        <v>45781.0</v>
      </c>
      <c r="E324" s="1">
        <v>27.0</v>
      </c>
      <c r="F324" s="1">
        <v>0.0</v>
      </c>
      <c r="G324" s="1">
        <v>24.0</v>
      </c>
      <c r="H324" s="1">
        <v>3.0</v>
      </c>
    </row>
    <row r="325">
      <c r="D325" s="2">
        <v>45780.0</v>
      </c>
      <c r="E325" s="1">
        <v>14.0</v>
      </c>
      <c r="F325" s="1">
        <v>0.0</v>
      </c>
      <c r="G325" s="1">
        <v>14.0</v>
      </c>
      <c r="H325" s="1">
        <v>0.0</v>
      </c>
    </row>
    <row r="326">
      <c r="D326" s="2">
        <v>45779.0</v>
      </c>
      <c r="E326" s="1">
        <v>21.0</v>
      </c>
      <c r="F326" s="1">
        <v>0.0</v>
      </c>
      <c r="G326" s="1">
        <v>20.0</v>
      </c>
      <c r="H326" s="1">
        <v>1.0</v>
      </c>
    </row>
    <row r="327">
      <c r="D327" s="2">
        <v>45778.0</v>
      </c>
      <c r="E327" s="1">
        <v>45.0</v>
      </c>
      <c r="F327" s="1">
        <v>0.0</v>
      </c>
      <c r="G327" s="1">
        <v>42.0</v>
      </c>
      <c r="H327" s="1">
        <v>3.0</v>
      </c>
    </row>
    <row r="328">
      <c r="D328" s="2">
        <v>45777.0</v>
      </c>
      <c r="E328" s="1">
        <v>29.0</v>
      </c>
      <c r="F328" s="1">
        <v>0.0</v>
      </c>
      <c r="G328" s="1">
        <v>28.0</v>
      </c>
      <c r="H328" s="1">
        <v>1.0</v>
      </c>
    </row>
    <row r="329">
      <c r="D329" s="2">
        <v>45776.0</v>
      </c>
      <c r="E329" s="1">
        <v>33.0</v>
      </c>
      <c r="F329" s="1">
        <v>0.0</v>
      </c>
      <c r="G329" s="1">
        <v>31.0</v>
      </c>
      <c r="H329" s="1">
        <v>2.0</v>
      </c>
    </row>
    <row r="330">
      <c r="D330" s="2">
        <v>45775.0</v>
      </c>
      <c r="E330" s="1">
        <v>34.0</v>
      </c>
      <c r="F330" s="1">
        <v>0.0</v>
      </c>
      <c r="G330" s="1">
        <v>28.0</v>
      </c>
      <c r="H330" s="1">
        <v>6.0</v>
      </c>
    </row>
    <row r="331">
      <c r="D331" s="2">
        <v>45774.0</v>
      </c>
      <c r="E331" s="1">
        <v>21.0</v>
      </c>
      <c r="F331" s="1">
        <v>0.0</v>
      </c>
      <c r="G331" s="1">
        <v>18.0</v>
      </c>
      <c r="H331" s="1">
        <v>3.0</v>
      </c>
    </row>
    <row r="332">
      <c r="D332" s="2">
        <v>45773.0</v>
      </c>
      <c r="E332" s="1">
        <v>25.0</v>
      </c>
      <c r="F332" s="1">
        <v>0.0</v>
      </c>
      <c r="G332" s="1">
        <v>23.0</v>
      </c>
      <c r="H332" s="1">
        <v>2.0</v>
      </c>
    </row>
    <row r="333">
      <c r="D333" s="2">
        <v>45772.0</v>
      </c>
      <c r="E333" s="1">
        <v>16.0</v>
      </c>
      <c r="F333" s="1">
        <v>0.0</v>
      </c>
      <c r="G333" s="1">
        <v>14.0</v>
      </c>
      <c r="H333" s="1">
        <v>2.0</v>
      </c>
    </row>
    <row r="334">
      <c r="D334" s="2">
        <v>45771.0</v>
      </c>
      <c r="E334" s="1">
        <v>41.0</v>
      </c>
      <c r="F334" s="1">
        <v>0.0</v>
      </c>
      <c r="G334" s="1">
        <v>38.0</v>
      </c>
      <c r="H334" s="1">
        <v>3.0</v>
      </c>
    </row>
    <row r="335">
      <c r="D335" s="2">
        <v>45770.0</v>
      </c>
      <c r="E335" s="1">
        <v>36.0</v>
      </c>
      <c r="F335" s="1">
        <v>0.0</v>
      </c>
      <c r="G335" s="1">
        <v>31.0</v>
      </c>
      <c r="H335" s="1">
        <v>5.0</v>
      </c>
    </row>
    <row r="336">
      <c r="D336" s="2">
        <v>45769.0</v>
      </c>
      <c r="E336" s="1">
        <v>26.0</v>
      </c>
      <c r="F336" s="1">
        <v>0.0</v>
      </c>
      <c r="G336" s="1">
        <v>25.0</v>
      </c>
      <c r="H336" s="1">
        <v>1.0</v>
      </c>
    </row>
    <row r="337">
      <c r="D337" s="2">
        <v>45768.0</v>
      </c>
      <c r="E337" s="1">
        <v>24.0</v>
      </c>
      <c r="F337" s="1">
        <v>0.0</v>
      </c>
      <c r="G337" s="1">
        <v>24.0</v>
      </c>
      <c r="H337" s="1">
        <v>0.0</v>
      </c>
    </row>
    <row r="338">
      <c r="D338" s="2">
        <v>45767.0</v>
      </c>
      <c r="E338" s="1">
        <v>15.0</v>
      </c>
      <c r="F338" s="1">
        <v>0.0</v>
      </c>
      <c r="G338" s="1">
        <v>14.0</v>
      </c>
      <c r="H338" s="1">
        <v>1.0</v>
      </c>
    </row>
    <row r="339">
      <c r="D339" s="2">
        <v>45766.0</v>
      </c>
      <c r="E339" s="1">
        <v>20.0</v>
      </c>
      <c r="F339" s="1">
        <v>0.0</v>
      </c>
      <c r="G339" s="1">
        <v>18.0</v>
      </c>
      <c r="H339" s="1">
        <v>2.0</v>
      </c>
    </row>
    <row r="340">
      <c r="D340" s="2">
        <v>45765.0</v>
      </c>
      <c r="E340" s="1">
        <v>29.0</v>
      </c>
      <c r="F340" s="1">
        <v>0.0</v>
      </c>
      <c r="G340" s="1">
        <v>29.0</v>
      </c>
      <c r="H340" s="1">
        <v>0.0</v>
      </c>
    </row>
    <row r="341">
      <c r="D341" s="2">
        <v>45764.0</v>
      </c>
      <c r="E341" s="1">
        <v>27.0</v>
      </c>
      <c r="F341" s="1">
        <v>0.0</v>
      </c>
      <c r="G341" s="1">
        <v>26.0</v>
      </c>
      <c r="H341" s="1">
        <v>1.0</v>
      </c>
    </row>
    <row r="342">
      <c r="D342" s="2">
        <v>45763.0</v>
      </c>
      <c r="E342" s="1">
        <v>29.0</v>
      </c>
      <c r="F342" s="1">
        <v>0.0</v>
      </c>
      <c r="G342" s="1">
        <v>29.0</v>
      </c>
      <c r="H342" s="1">
        <v>0.0</v>
      </c>
    </row>
    <row r="343">
      <c r="D343" s="2">
        <v>45762.0</v>
      </c>
      <c r="E343" s="1">
        <v>21.0</v>
      </c>
      <c r="F343" s="1">
        <v>0.0</v>
      </c>
      <c r="G343" s="1">
        <v>21.0</v>
      </c>
      <c r="H343" s="1">
        <v>0.0</v>
      </c>
    </row>
    <row r="344">
      <c r="D344" s="2">
        <v>45761.0</v>
      </c>
      <c r="E344" s="1">
        <v>27.0</v>
      </c>
      <c r="F344" s="1">
        <v>0.0</v>
      </c>
      <c r="G344" s="1">
        <v>26.0</v>
      </c>
      <c r="H344" s="1">
        <v>1.0</v>
      </c>
    </row>
    <row r="345">
      <c r="D345" s="2">
        <v>45760.0</v>
      </c>
      <c r="E345" s="1">
        <v>15.0</v>
      </c>
      <c r="F345" s="1">
        <v>0.0</v>
      </c>
      <c r="G345" s="1">
        <v>14.0</v>
      </c>
      <c r="H345" s="1">
        <v>1.0</v>
      </c>
    </row>
    <row r="346">
      <c r="D346" s="2">
        <v>45759.0</v>
      </c>
      <c r="E346" s="1">
        <v>21.0</v>
      </c>
      <c r="F346" s="1">
        <v>0.0</v>
      </c>
      <c r="G346" s="1">
        <v>19.0</v>
      </c>
      <c r="H346" s="1">
        <v>2.0</v>
      </c>
    </row>
    <row r="347">
      <c r="D347" s="2">
        <v>45758.0</v>
      </c>
      <c r="E347" s="1">
        <v>17.0</v>
      </c>
      <c r="F347" s="1">
        <v>0.0</v>
      </c>
      <c r="G347" s="1">
        <v>14.0</v>
      </c>
      <c r="H347" s="1">
        <v>3.0</v>
      </c>
    </row>
    <row r="348">
      <c r="D348" s="2">
        <v>45757.0</v>
      </c>
      <c r="E348" s="1">
        <v>19.0</v>
      </c>
      <c r="F348" s="1">
        <v>0.0</v>
      </c>
      <c r="G348" s="1">
        <v>19.0</v>
      </c>
      <c r="H348" s="1">
        <v>0.0</v>
      </c>
    </row>
    <row r="349">
      <c r="D349" s="2">
        <v>45756.0</v>
      </c>
      <c r="E349" s="1">
        <v>21.0</v>
      </c>
      <c r="F349" s="1">
        <v>0.0</v>
      </c>
      <c r="G349" s="1">
        <v>20.0</v>
      </c>
      <c r="H349" s="1">
        <v>1.0</v>
      </c>
    </row>
    <row r="350">
      <c r="D350" s="2">
        <v>45755.0</v>
      </c>
      <c r="E350" s="1">
        <v>25.0</v>
      </c>
      <c r="F350" s="1">
        <v>0.0</v>
      </c>
      <c r="G350" s="1">
        <v>20.0</v>
      </c>
      <c r="H350" s="1">
        <v>5.0</v>
      </c>
    </row>
    <row r="351">
      <c r="D351" s="2">
        <v>45754.0</v>
      </c>
      <c r="E351" s="1">
        <v>29.0</v>
      </c>
      <c r="F351" s="1">
        <v>0.0</v>
      </c>
      <c r="G351" s="1">
        <v>27.0</v>
      </c>
      <c r="H351" s="1">
        <v>2.0</v>
      </c>
    </row>
    <row r="352">
      <c r="D352" s="2">
        <v>45753.0</v>
      </c>
      <c r="E352" s="1">
        <v>31.0</v>
      </c>
      <c r="F352" s="1">
        <v>0.0</v>
      </c>
      <c r="G352" s="1">
        <v>27.0</v>
      </c>
      <c r="H352" s="1">
        <v>4.0</v>
      </c>
    </row>
    <row r="353">
      <c r="D353" s="2">
        <v>45752.0</v>
      </c>
      <c r="E353" s="1">
        <v>19.0</v>
      </c>
      <c r="F353" s="1">
        <v>1.0</v>
      </c>
      <c r="G353" s="1">
        <v>17.0</v>
      </c>
      <c r="H353" s="1">
        <v>1.0</v>
      </c>
    </row>
    <row r="354">
      <c r="D354" s="2">
        <v>45751.0</v>
      </c>
      <c r="E354" s="1">
        <v>28.0</v>
      </c>
      <c r="F354" s="1">
        <v>0.0</v>
      </c>
      <c r="G354" s="1">
        <v>27.0</v>
      </c>
      <c r="H354" s="1">
        <v>1.0</v>
      </c>
    </row>
    <row r="355">
      <c r="D355" s="2">
        <v>45750.0</v>
      </c>
      <c r="E355" s="1">
        <v>18.0</v>
      </c>
      <c r="F355" s="1">
        <v>0.0</v>
      </c>
      <c r="G355" s="1">
        <v>16.0</v>
      </c>
      <c r="H355" s="1">
        <v>2.0</v>
      </c>
    </row>
    <row r="356">
      <c r="D356" s="2">
        <v>45749.0</v>
      </c>
      <c r="E356" s="1">
        <v>20.0</v>
      </c>
      <c r="F356" s="1">
        <v>0.0</v>
      </c>
      <c r="G356" s="1">
        <v>18.0</v>
      </c>
      <c r="H356" s="1">
        <v>2.0</v>
      </c>
    </row>
    <row r="357">
      <c r="D357" s="2">
        <v>45748.0</v>
      </c>
      <c r="E357" s="1">
        <v>18.0</v>
      </c>
      <c r="F357" s="1">
        <v>0.0</v>
      </c>
      <c r="G357" s="1">
        <v>18.0</v>
      </c>
      <c r="H357" s="1">
        <v>0.0</v>
      </c>
    </row>
    <row r="358">
      <c r="D358" s="2">
        <v>45747.0</v>
      </c>
      <c r="E358" s="1">
        <v>16.0</v>
      </c>
      <c r="F358" s="1">
        <v>0.0</v>
      </c>
      <c r="G358" s="1">
        <v>16.0</v>
      </c>
      <c r="H358" s="1">
        <v>0.0</v>
      </c>
    </row>
    <row r="359">
      <c r="D359" s="2">
        <v>45746.0</v>
      </c>
      <c r="E359" s="1">
        <v>20.0</v>
      </c>
      <c r="F359" s="1">
        <v>0.0</v>
      </c>
      <c r="G359" s="1">
        <v>20.0</v>
      </c>
      <c r="H359" s="1">
        <v>0.0</v>
      </c>
    </row>
    <row r="360">
      <c r="D360" s="2">
        <v>45745.0</v>
      </c>
      <c r="E360" s="1">
        <v>11.0</v>
      </c>
      <c r="F360" s="1">
        <v>0.0</v>
      </c>
      <c r="G360" s="1">
        <v>10.0</v>
      </c>
      <c r="H360" s="1">
        <v>1.0</v>
      </c>
    </row>
    <row r="361">
      <c r="D361" s="2">
        <v>45744.0</v>
      </c>
      <c r="E361" s="1">
        <v>16.0</v>
      </c>
      <c r="F361" s="1">
        <v>0.0</v>
      </c>
      <c r="G361" s="1">
        <v>16.0</v>
      </c>
      <c r="H361" s="1">
        <v>0.0</v>
      </c>
    </row>
    <row r="362">
      <c r="D362" s="2">
        <v>45743.0</v>
      </c>
      <c r="E362" s="1">
        <v>9.0</v>
      </c>
      <c r="F362" s="1">
        <v>0.0</v>
      </c>
      <c r="G362" s="1">
        <v>9.0</v>
      </c>
      <c r="H362" s="1">
        <v>0.0</v>
      </c>
    </row>
    <row r="363">
      <c r="D363" s="2">
        <v>45742.0</v>
      </c>
      <c r="E363" s="1">
        <v>18.0</v>
      </c>
      <c r="F363" s="1">
        <v>0.0</v>
      </c>
      <c r="G363" s="1">
        <v>17.0</v>
      </c>
      <c r="H363" s="1">
        <v>1.0</v>
      </c>
    </row>
    <row r="364">
      <c r="D364" s="2">
        <v>45741.0</v>
      </c>
      <c r="E364" s="1">
        <v>6.0</v>
      </c>
      <c r="F364" s="1">
        <v>0.0</v>
      </c>
      <c r="G364" s="1">
        <v>5.0</v>
      </c>
      <c r="H364" s="1">
        <v>1.0</v>
      </c>
    </row>
    <row r="365">
      <c r="D365" s="2">
        <v>45740.0</v>
      </c>
      <c r="E365" s="1">
        <v>16.0</v>
      </c>
      <c r="F365" s="1">
        <v>0.0</v>
      </c>
      <c r="G365" s="1">
        <v>14.0</v>
      </c>
      <c r="H365" s="1">
        <v>2.0</v>
      </c>
    </row>
    <row r="366">
      <c r="D366" s="2">
        <v>45739.0</v>
      </c>
      <c r="E366" s="1">
        <v>18.0</v>
      </c>
      <c r="F366" s="1">
        <v>0.0</v>
      </c>
      <c r="G366" s="1">
        <v>17.0</v>
      </c>
      <c r="H366" s="1">
        <v>1.0</v>
      </c>
    </row>
    <row r="367">
      <c r="D367" s="2">
        <v>45738.0</v>
      </c>
      <c r="E367" s="1">
        <v>20.0</v>
      </c>
      <c r="F367" s="1">
        <v>0.0</v>
      </c>
      <c r="G367" s="1">
        <v>18.0</v>
      </c>
      <c r="H367" s="1">
        <v>2.0</v>
      </c>
    </row>
    <row r="368">
      <c r="D368" s="2">
        <v>45737.0</v>
      </c>
      <c r="E368" s="1">
        <v>18.0</v>
      </c>
      <c r="F368" s="1">
        <v>0.0</v>
      </c>
      <c r="G368" s="1">
        <v>16.0</v>
      </c>
      <c r="H368" s="1">
        <v>2.0</v>
      </c>
    </row>
    <row r="369">
      <c r="D369" s="2">
        <v>45736.0</v>
      </c>
      <c r="E369" s="1">
        <v>13.0</v>
      </c>
      <c r="F369" s="1">
        <v>0.0</v>
      </c>
      <c r="G369" s="1">
        <v>13.0</v>
      </c>
      <c r="H369" s="1">
        <v>0.0</v>
      </c>
    </row>
    <row r="370">
      <c r="D370" s="2">
        <v>45735.0</v>
      </c>
      <c r="E370" s="1">
        <v>19.0</v>
      </c>
      <c r="F370" s="1">
        <v>0.0</v>
      </c>
      <c r="G370" s="1">
        <v>19.0</v>
      </c>
      <c r="H370" s="1">
        <v>0.0</v>
      </c>
    </row>
    <row r="371">
      <c r="D371" s="2">
        <v>45734.0</v>
      </c>
      <c r="E371" s="1">
        <v>17.0</v>
      </c>
      <c r="F371" s="1">
        <v>0.0</v>
      </c>
      <c r="G371" s="1">
        <v>17.0</v>
      </c>
      <c r="H371" s="1">
        <v>0.0</v>
      </c>
    </row>
    <row r="372">
      <c r="D372" s="2">
        <v>45733.0</v>
      </c>
      <c r="E372" s="1">
        <v>8.0</v>
      </c>
      <c r="F372" s="1">
        <v>0.0</v>
      </c>
      <c r="G372" s="1">
        <v>8.0</v>
      </c>
      <c r="H372" s="1">
        <v>0.0</v>
      </c>
    </row>
    <row r="373">
      <c r="D373" s="2">
        <v>45732.0</v>
      </c>
      <c r="E373" s="1">
        <v>10.0</v>
      </c>
      <c r="F373" s="1">
        <v>0.0</v>
      </c>
      <c r="G373" s="1">
        <v>10.0</v>
      </c>
      <c r="H373" s="1">
        <v>0.0</v>
      </c>
    </row>
    <row r="374">
      <c r="D374" s="2">
        <v>45731.0</v>
      </c>
      <c r="E374" s="1">
        <v>7.0</v>
      </c>
      <c r="F374" s="1">
        <v>0.0</v>
      </c>
      <c r="G374" s="1">
        <v>5.0</v>
      </c>
      <c r="H374" s="1">
        <v>2.0</v>
      </c>
    </row>
    <row r="375">
      <c r="D375" s="2">
        <v>45730.0</v>
      </c>
      <c r="E375" s="1">
        <v>16.0</v>
      </c>
      <c r="F375" s="1">
        <v>0.0</v>
      </c>
      <c r="G375" s="1">
        <v>15.0</v>
      </c>
      <c r="H375" s="1">
        <v>1.0</v>
      </c>
    </row>
    <row r="376">
      <c r="D376" s="2">
        <v>45729.0</v>
      </c>
      <c r="E376" s="1">
        <v>10.0</v>
      </c>
      <c r="F376" s="1">
        <v>0.0</v>
      </c>
      <c r="G376" s="1">
        <v>9.0</v>
      </c>
      <c r="H376" s="1">
        <v>1.0</v>
      </c>
    </row>
    <row r="377">
      <c r="D377" s="2">
        <v>45728.0</v>
      </c>
      <c r="E377" s="1">
        <v>18.0</v>
      </c>
      <c r="F377" s="1">
        <v>0.0</v>
      </c>
      <c r="G377" s="1">
        <v>17.0</v>
      </c>
      <c r="H377" s="1">
        <v>1.0</v>
      </c>
    </row>
    <row r="378">
      <c r="D378" s="2">
        <v>45727.0</v>
      </c>
      <c r="E378" s="1">
        <v>15.0</v>
      </c>
      <c r="F378" s="1">
        <v>0.0</v>
      </c>
      <c r="G378" s="1">
        <v>14.0</v>
      </c>
      <c r="H378" s="1">
        <v>1.0</v>
      </c>
    </row>
    <row r="379">
      <c r="D379" s="2">
        <v>45726.0</v>
      </c>
      <c r="E379" s="1">
        <v>23.0</v>
      </c>
      <c r="F379" s="1">
        <v>0.0</v>
      </c>
      <c r="G379" s="1">
        <v>22.0</v>
      </c>
      <c r="H379" s="1">
        <v>1.0</v>
      </c>
    </row>
    <row r="380">
      <c r="D380" s="2">
        <v>45725.0</v>
      </c>
      <c r="E380" s="1">
        <v>15.0</v>
      </c>
      <c r="F380" s="1">
        <v>0.0</v>
      </c>
      <c r="G380" s="1">
        <v>13.0</v>
      </c>
      <c r="H380" s="1">
        <v>2.0</v>
      </c>
    </row>
    <row r="381">
      <c r="D381" s="2">
        <v>45724.0</v>
      </c>
      <c r="E381" s="1">
        <v>10.0</v>
      </c>
      <c r="F381" s="1">
        <v>0.0</v>
      </c>
      <c r="G381" s="1">
        <v>10.0</v>
      </c>
      <c r="H381" s="1">
        <v>0.0</v>
      </c>
    </row>
    <row r="382">
      <c r="D382" s="2">
        <v>45723.0</v>
      </c>
      <c r="E382" s="1">
        <v>8.0</v>
      </c>
      <c r="F382" s="1">
        <v>0.0</v>
      </c>
      <c r="G382" s="1">
        <v>8.0</v>
      </c>
      <c r="H382" s="1">
        <v>0.0</v>
      </c>
    </row>
    <row r="383">
      <c r="D383" s="2">
        <v>45722.0</v>
      </c>
      <c r="E383" s="1">
        <v>13.0</v>
      </c>
      <c r="F383" s="1">
        <v>0.0</v>
      </c>
      <c r="G383" s="1">
        <v>11.0</v>
      </c>
      <c r="H383" s="1">
        <v>2.0</v>
      </c>
    </row>
    <row r="384">
      <c r="D384" s="2">
        <v>45721.0</v>
      </c>
      <c r="E384" s="1">
        <v>15.0</v>
      </c>
      <c r="F384" s="1">
        <v>0.0</v>
      </c>
      <c r="G384" s="1">
        <v>14.0</v>
      </c>
      <c r="H384" s="1">
        <v>1.0</v>
      </c>
    </row>
    <row r="385">
      <c r="D385" s="2">
        <v>45720.0</v>
      </c>
      <c r="E385" s="1">
        <v>24.0</v>
      </c>
      <c r="F385" s="1">
        <v>0.0</v>
      </c>
      <c r="G385" s="1">
        <v>21.0</v>
      </c>
      <c r="H385" s="1">
        <v>3.0</v>
      </c>
    </row>
    <row r="386">
      <c r="D386" s="2">
        <v>45719.0</v>
      </c>
      <c r="E386" s="1">
        <v>13.0</v>
      </c>
      <c r="F386" s="1">
        <v>0.0</v>
      </c>
      <c r="G386" s="1">
        <v>10.0</v>
      </c>
      <c r="H386" s="1">
        <v>3.0</v>
      </c>
    </row>
    <row r="387">
      <c r="D387" s="2">
        <v>45718.0</v>
      </c>
      <c r="E387" s="1">
        <v>12.0</v>
      </c>
      <c r="F387" s="1">
        <v>0.0</v>
      </c>
      <c r="G387" s="1">
        <v>10.0</v>
      </c>
      <c r="H387" s="1">
        <v>2.0</v>
      </c>
    </row>
    <row r="388">
      <c r="D388" s="2">
        <v>45717.0</v>
      </c>
      <c r="E388" s="1">
        <v>9.0</v>
      </c>
      <c r="F388" s="1">
        <v>0.0</v>
      </c>
      <c r="G388" s="1">
        <v>6.0</v>
      </c>
      <c r="H388" s="1">
        <v>3.0</v>
      </c>
    </row>
    <row r="389">
      <c r="D389" s="2">
        <v>45716.0</v>
      </c>
      <c r="E389" s="1">
        <v>10.0</v>
      </c>
      <c r="F389" s="1">
        <v>0.0</v>
      </c>
      <c r="G389" s="1">
        <v>10.0</v>
      </c>
      <c r="H389" s="1">
        <v>0.0</v>
      </c>
    </row>
    <row r="390">
      <c r="D390" s="2">
        <v>45715.0</v>
      </c>
      <c r="E390" s="1">
        <v>10.0</v>
      </c>
      <c r="F390" s="1">
        <v>0.0</v>
      </c>
      <c r="G390" s="1">
        <v>9.0</v>
      </c>
      <c r="H390" s="1">
        <v>1.0</v>
      </c>
    </row>
    <row r="391">
      <c r="D391" s="2">
        <v>45714.0</v>
      </c>
      <c r="E391" s="1">
        <v>8.0</v>
      </c>
      <c r="F391" s="1">
        <v>0.0</v>
      </c>
      <c r="G391" s="1">
        <v>7.0</v>
      </c>
      <c r="H391" s="1">
        <v>1.0</v>
      </c>
    </row>
    <row r="392">
      <c r="D392" s="2">
        <v>45713.0</v>
      </c>
      <c r="E392" s="1">
        <v>9.0</v>
      </c>
      <c r="F392" s="1">
        <v>0.0</v>
      </c>
      <c r="G392" s="1">
        <v>9.0</v>
      </c>
      <c r="H392" s="1">
        <v>0.0</v>
      </c>
    </row>
    <row r="393">
      <c r="D393" s="2">
        <v>45712.0</v>
      </c>
      <c r="E393" s="1">
        <v>10.0</v>
      </c>
      <c r="F393" s="1">
        <v>0.0</v>
      </c>
      <c r="G393" s="1">
        <v>9.0</v>
      </c>
      <c r="H393" s="1">
        <v>1.0</v>
      </c>
    </row>
    <row r="394">
      <c r="D394" s="2">
        <v>45711.0</v>
      </c>
      <c r="E394" s="1">
        <v>19.0</v>
      </c>
      <c r="F394" s="1">
        <v>0.0</v>
      </c>
      <c r="G394" s="1">
        <v>17.0</v>
      </c>
      <c r="H394" s="1">
        <v>2.0</v>
      </c>
    </row>
    <row r="395">
      <c r="D395" s="2">
        <v>45710.0</v>
      </c>
      <c r="E395" s="1">
        <v>6.0</v>
      </c>
      <c r="F395" s="1">
        <v>0.0</v>
      </c>
      <c r="G395" s="1">
        <v>6.0</v>
      </c>
      <c r="H395" s="1">
        <v>0.0</v>
      </c>
    </row>
    <row r="396">
      <c r="D396" s="2">
        <v>45709.0</v>
      </c>
      <c r="E396" s="1">
        <v>10.0</v>
      </c>
      <c r="F396" s="1">
        <v>0.0</v>
      </c>
      <c r="G396" s="1">
        <v>9.0</v>
      </c>
      <c r="H396" s="1">
        <v>1.0</v>
      </c>
    </row>
    <row r="397">
      <c r="D397" s="2">
        <v>45708.0</v>
      </c>
      <c r="E397" s="1">
        <v>8.0</v>
      </c>
      <c r="F397" s="1">
        <v>0.0</v>
      </c>
      <c r="G397" s="1">
        <v>8.0</v>
      </c>
      <c r="H397" s="1">
        <v>0.0</v>
      </c>
    </row>
    <row r="398">
      <c r="D398" s="2">
        <v>45707.0</v>
      </c>
      <c r="E398" s="1">
        <v>6.0</v>
      </c>
      <c r="F398" s="1">
        <v>0.0</v>
      </c>
      <c r="G398" s="1">
        <v>6.0</v>
      </c>
      <c r="H398" s="1">
        <v>0.0</v>
      </c>
    </row>
    <row r="399">
      <c r="D399" s="2">
        <v>45706.0</v>
      </c>
      <c r="E399" s="1">
        <v>4.0</v>
      </c>
      <c r="F399" s="1">
        <v>0.0</v>
      </c>
      <c r="G399" s="1">
        <v>4.0</v>
      </c>
      <c r="H399" s="1">
        <v>0.0</v>
      </c>
    </row>
    <row r="400">
      <c r="D400" s="2">
        <v>45705.0</v>
      </c>
      <c r="E400" s="1">
        <v>3.0</v>
      </c>
      <c r="F400" s="1">
        <v>0.0</v>
      </c>
      <c r="G400" s="1">
        <v>3.0</v>
      </c>
      <c r="H400" s="1">
        <v>0.0</v>
      </c>
    </row>
    <row r="401">
      <c r="D401" s="2">
        <v>45704.0</v>
      </c>
      <c r="E401" s="1">
        <v>2.0</v>
      </c>
      <c r="F401" s="1">
        <v>0.0</v>
      </c>
      <c r="G401" s="1">
        <v>2.0</v>
      </c>
      <c r="H401" s="1">
        <v>0.0</v>
      </c>
    </row>
    <row r="402">
      <c r="D402" s="2">
        <v>45703.0</v>
      </c>
      <c r="E402" s="1">
        <v>5.0</v>
      </c>
      <c r="F402" s="1">
        <v>0.0</v>
      </c>
      <c r="G402" s="1">
        <v>5.0</v>
      </c>
      <c r="H402" s="1">
        <v>0.0</v>
      </c>
    </row>
    <row r="403">
      <c r="D403" s="2">
        <v>45702.0</v>
      </c>
      <c r="E403" s="1">
        <v>15.0</v>
      </c>
      <c r="F403" s="1">
        <v>0.0</v>
      </c>
      <c r="G403" s="1">
        <v>14.0</v>
      </c>
      <c r="H403" s="1">
        <v>1.0</v>
      </c>
    </row>
    <row r="404">
      <c r="D404" s="2">
        <v>45701.0</v>
      </c>
      <c r="E404" s="1">
        <v>9.0</v>
      </c>
      <c r="F404" s="1">
        <v>0.0</v>
      </c>
      <c r="G404" s="1">
        <v>8.0</v>
      </c>
      <c r="H404" s="1">
        <v>1.0</v>
      </c>
    </row>
    <row r="405">
      <c r="D405" s="2">
        <v>45700.0</v>
      </c>
      <c r="E405" s="1">
        <v>15.0</v>
      </c>
      <c r="F405" s="1">
        <v>0.0</v>
      </c>
      <c r="G405" s="1">
        <v>12.0</v>
      </c>
      <c r="H405" s="1">
        <v>3.0</v>
      </c>
    </row>
    <row r="406">
      <c r="D406" s="2">
        <v>45699.0</v>
      </c>
      <c r="E406" s="1">
        <v>7.0</v>
      </c>
      <c r="F406" s="1">
        <v>0.0</v>
      </c>
      <c r="G406" s="1">
        <v>7.0</v>
      </c>
      <c r="H406" s="1">
        <v>0.0</v>
      </c>
    </row>
    <row r="407">
      <c r="D407" s="2">
        <v>45698.0</v>
      </c>
      <c r="E407" s="1">
        <v>11.0</v>
      </c>
      <c r="F407" s="1">
        <v>0.0</v>
      </c>
      <c r="G407" s="1">
        <v>11.0</v>
      </c>
      <c r="H407" s="1">
        <v>0.0</v>
      </c>
    </row>
    <row r="408">
      <c r="D408" s="2">
        <v>45697.0</v>
      </c>
      <c r="E408" s="1">
        <v>10.0</v>
      </c>
      <c r="F408" s="1">
        <v>0.0</v>
      </c>
      <c r="G408" s="1">
        <v>9.0</v>
      </c>
      <c r="H408" s="1">
        <v>1.0</v>
      </c>
    </row>
    <row r="409">
      <c r="D409" s="2">
        <v>45696.0</v>
      </c>
      <c r="E409" s="1">
        <v>7.0</v>
      </c>
      <c r="F409" s="1">
        <v>0.0</v>
      </c>
      <c r="G409" s="1">
        <v>7.0</v>
      </c>
      <c r="H409" s="1">
        <v>0.0</v>
      </c>
    </row>
    <row r="410">
      <c r="D410" s="2">
        <v>45695.0</v>
      </c>
      <c r="E410" s="1">
        <v>7.0</v>
      </c>
      <c r="F410" s="1">
        <v>0.0</v>
      </c>
      <c r="G410" s="1">
        <v>5.0</v>
      </c>
      <c r="H410" s="1">
        <v>2.0</v>
      </c>
    </row>
    <row r="411">
      <c r="D411" s="2">
        <v>45694.0</v>
      </c>
      <c r="E411" s="1">
        <v>15.0</v>
      </c>
      <c r="F411" s="1">
        <v>0.0</v>
      </c>
      <c r="G411" s="1">
        <v>14.0</v>
      </c>
      <c r="H411" s="1">
        <v>1.0</v>
      </c>
    </row>
    <row r="412">
      <c r="D412" s="2">
        <v>45693.0</v>
      </c>
      <c r="E412" s="1">
        <v>10.0</v>
      </c>
      <c r="F412" s="1">
        <v>0.0</v>
      </c>
      <c r="G412" s="1">
        <v>10.0</v>
      </c>
      <c r="H412" s="1">
        <v>0.0</v>
      </c>
    </row>
    <row r="413">
      <c r="D413" s="2">
        <v>45692.0</v>
      </c>
      <c r="E413" s="1">
        <v>15.0</v>
      </c>
      <c r="F413" s="1">
        <v>0.0</v>
      </c>
      <c r="G413" s="1">
        <v>15.0</v>
      </c>
      <c r="H413" s="1">
        <v>0.0</v>
      </c>
    </row>
    <row r="414">
      <c r="D414" s="2">
        <v>45691.0</v>
      </c>
      <c r="E414" s="1">
        <v>8.0</v>
      </c>
      <c r="F414" s="1">
        <v>0.0</v>
      </c>
      <c r="G414" s="1">
        <v>7.0</v>
      </c>
      <c r="H414" s="1">
        <v>1.0</v>
      </c>
    </row>
    <row r="415">
      <c r="D415" s="2">
        <v>45690.0</v>
      </c>
      <c r="E415" s="1">
        <v>12.0</v>
      </c>
      <c r="F415" s="1">
        <v>0.0</v>
      </c>
      <c r="G415" s="1">
        <v>9.0</v>
      </c>
      <c r="H415" s="1">
        <v>3.0</v>
      </c>
    </row>
    <row r="416">
      <c r="D416" s="2">
        <v>45689.0</v>
      </c>
      <c r="E416" s="1">
        <v>8.0</v>
      </c>
      <c r="F416" s="1">
        <v>0.0</v>
      </c>
      <c r="G416" s="1">
        <v>7.0</v>
      </c>
      <c r="H416" s="1">
        <v>1.0</v>
      </c>
    </row>
    <row r="417">
      <c r="D417" s="2">
        <v>45688.0</v>
      </c>
      <c r="E417" s="1">
        <v>6.0</v>
      </c>
      <c r="F417" s="1">
        <v>0.0</v>
      </c>
      <c r="G417" s="1">
        <v>5.0</v>
      </c>
      <c r="H417" s="1">
        <v>1.0</v>
      </c>
    </row>
    <row r="418">
      <c r="D418" s="2">
        <v>45687.0</v>
      </c>
      <c r="E418" s="1">
        <v>8.0</v>
      </c>
      <c r="F418" s="1">
        <v>0.0</v>
      </c>
      <c r="G418" s="1">
        <v>8.0</v>
      </c>
      <c r="H418" s="1">
        <v>0.0</v>
      </c>
    </row>
    <row r="419">
      <c r="D419" s="2">
        <v>45686.0</v>
      </c>
      <c r="E419" s="1">
        <v>7.0</v>
      </c>
      <c r="F419" s="1">
        <v>0.0</v>
      </c>
      <c r="G419" s="1">
        <v>7.0</v>
      </c>
      <c r="H419" s="1">
        <v>0.0</v>
      </c>
    </row>
    <row r="420">
      <c r="D420" s="2">
        <v>45685.0</v>
      </c>
      <c r="E420" s="1">
        <v>9.0</v>
      </c>
      <c r="F420" s="1">
        <v>0.0</v>
      </c>
      <c r="G420" s="1">
        <v>9.0</v>
      </c>
      <c r="H420" s="1">
        <v>0.0</v>
      </c>
    </row>
    <row r="421">
      <c r="D421" s="2">
        <v>45684.0</v>
      </c>
      <c r="E421" s="1">
        <v>8.0</v>
      </c>
      <c r="F421" s="1">
        <v>0.0</v>
      </c>
      <c r="G421" s="1">
        <v>7.0</v>
      </c>
      <c r="H421" s="1">
        <v>1.0</v>
      </c>
    </row>
    <row r="422">
      <c r="D422" s="2">
        <v>45683.0</v>
      </c>
      <c r="E422" s="1">
        <v>7.0</v>
      </c>
      <c r="F422" s="1">
        <v>0.0</v>
      </c>
      <c r="G422" s="1">
        <v>6.0</v>
      </c>
      <c r="H422" s="1">
        <v>1.0</v>
      </c>
    </row>
    <row r="423">
      <c r="D423" s="2">
        <v>45682.0</v>
      </c>
      <c r="E423" s="1">
        <v>9.0</v>
      </c>
      <c r="F423" s="1">
        <v>0.0</v>
      </c>
      <c r="G423" s="1">
        <v>6.0</v>
      </c>
      <c r="H423" s="1">
        <v>3.0</v>
      </c>
    </row>
    <row r="424">
      <c r="D424" s="2">
        <v>45681.0</v>
      </c>
      <c r="E424" s="1">
        <v>10.0</v>
      </c>
      <c r="F424" s="1">
        <v>0.0</v>
      </c>
      <c r="G424" s="1">
        <v>10.0</v>
      </c>
      <c r="H424" s="1">
        <v>0.0</v>
      </c>
    </row>
    <row r="425">
      <c r="D425" s="2">
        <v>45680.0</v>
      </c>
      <c r="E425" s="1">
        <v>10.0</v>
      </c>
      <c r="F425" s="1">
        <v>0.0</v>
      </c>
      <c r="G425" s="1">
        <v>9.0</v>
      </c>
      <c r="H425" s="1">
        <v>1.0</v>
      </c>
    </row>
    <row r="426">
      <c r="D426" s="2">
        <v>45679.0</v>
      </c>
      <c r="E426" s="1">
        <v>17.0</v>
      </c>
      <c r="F426" s="1">
        <v>0.0</v>
      </c>
      <c r="G426" s="1">
        <v>16.0</v>
      </c>
      <c r="H426" s="1">
        <v>1.0</v>
      </c>
    </row>
    <row r="427">
      <c r="D427" s="2">
        <v>45678.0</v>
      </c>
      <c r="E427" s="1">
        <v>7.0</v>
      </c>
      <c r="F427" s="1">
        <v>0.0</v>
      </c>
      <c r="G427" s="1">
        <v>6.0</v>
      </c>
      <c r="H427" s="1">
        <v>1.0</v>
      </c>
    </row>
    <row r="428">
      <c r="D428" s="2">
        <v>45677.0</v>
      </c>
      <c r="E428" s="1">
        <v>14.0</v>
      </c>
      <c r="F428" s="1">
        <v>0.0</v>
      </c>
      <c r="G428" s="1">
        <v>13.0</v>
      </c>
      <c r="H428" s="1">
        <v>1.0</v>
      </c>
    </row>
    <row r="429">
      <c r="D429" s="2">
        <v>45676.0</v>
      </c>
      <c r="E429" s="1">
        <v>10.0</v>
      </c>
      <c r="F429" s="1">
        <v>0.0</v>
      </c>
      <c r="G429" s="1">
        <v>9.0</v>
      </c>
      <c r="H429" s="1">
        <v>1.0</v>
      </c>
    </row>
    <row r="430">
      <c r="D430" s="2">
        <v>45675.0</v>
      </c>
      <c r="E430" s="1">
        <v>14.0</v>
      </c>
      <c r="F430" s="1">
        <v>0.0</v>
      </c>
      <c r="G430" s="1">
        <v>11.0</v>
      </c>
      <c r="H430" s="1">
        <v>3.0</v>
      </c>
    </row>
    <row r="431">
      <c r="D431" s="2">
        <v>45674.0</v>
      </c>
      <c r="E431" s="1">
        <v>10.0</v>
      </c>
      <c r="F431" s="1">
        <v>0.0</v>
      </c>
      <c r="G431" s="1">
        <v>10.0</v>
      </c>
      <c r="H431" s="1">
        <v>0.0</v>
      </c>
    </row>
    <row r="432">
      <c r="D432" s="2">
        <v>45673.0</v>
      </c>
      <c r="E432" s="1">
        <v>9.0</v>
      </c>
      <c r="F432" s="1">
        <v>0.0</v>
      </c>
      <c r="G432" s="1">
        <v>9.0</v>
      </c>
      <c r="H432" s="1">
        <v>0.0</v>
      </c>
    </row>
    <row r="433">
      <c r="D433" s="2">
        <v>45672.0</v>
      </c>
      <c r="E433" s="1">
        <v>12.0</v>
      </c>
      <c r="F433" s="1">
        <v>0.0</v>
      </c>
      <c r="G433" s="1">
        <v>12.0</v>
      </c>
      <c r="H433" s="1">
        <v>0.0</v>
      </c>
    </row>
    <row r="434">
      <c r="D434" s="2">
        <v>45671.0</v>
      </c>
      <c r="E434" s="1">
        <v>11.0</v>
      </c>
      <c r="F434" s="1">
        <v>0.0</v>
      </c>
      <c r="G434" s="1">
        <v>11.0</v>
      </c>
      <c r="H434" s="1">
        <v>0.0</v>
      </c>
    </row>
    <row r="435">
      <c r="D435" s="2">
        <v>45670.0</v>
      </c>
      <c r="E435" s="1">
        <v>11.0</v>
      </c>
      <c r="F435" s="1">
        <v>0.0</v>
      </c>
      <c r="G435" s="1">
        <v>10.0</v>
      </c>
      <c r="H435" s="1">
        <v>1.0</v>
      </c>
    </row>
    <row r="436">
      <c r="D436" s="2">
        <v>45669.0</v>
      </c>
      <c r="E436" s="1">
        <v>13.0</v>
      </c>
      <c r="F436" s="1">
        <v>0.0</v>
      </c>
      <c r="G436" s="1">
        <v>13.0</v>
      </c>
      <c r="H436" s="1">
        <v>0.0</v>
      </c>
    </row>
    <row r="437">
      <c r="D437" s="2">
        <v>45668.0</v>
      </c>
      <c r="E437" s="1">
        <v>13.0</v>
      </c>
      <c r="F437" s="1">
        <v>0.0</v>
      </c>
      <c r="G437" s="1">
        <v>12.0</v>
      </c>
      <c r="H437" s="1">
        <v>1.0</v>
      </c>
    </row>
    <row r="438">
      <c r="D438" s="2">
        <v>45667.0</v>
      </c>
      <c r="E438" s="1">
        <v>8.0</v>
      </c>
      <c r="F438" s="1">
        <v>0.0</v>
      </c>
      <c r="G438" s="1">
        <v>6.0</v>
      </c>
      <c r="H438" s="1">
        <v>2.0</v>
      </c>
    </row>
    <row r="439">
      <c r="D439" s="2">
        <v>45666.0</v>
      </c>
      <c r="E439" s="1">
        <v>9.0</v>
      </c>
      <c r="F439" s="1">
        <v>0.0</v>
      </c>
      <c r="G439" s="1">
        <v>8.0</v>
      </c>
      <c r="H439" s="1">
        <v>1.0</v>
      </c>
    </row>
    <row r="440">
      <c r="D440" s="2">
        <v>45665.0</v>
      </c>
      <c r="E440" s="1">
        <v>12.0</v>
      </c>
      <c r="F440" s="1">
        <v>0.0</v>
      </c>
      <c r="G440" s="1">
        <v>12.0</v>
      </c>
      <c r="H440" s="1">
        <v>0.0</v>
      </c>
    </row>
    <row r="441">
      <c r="D441" s="2">
        <v>45664.0</v>
      </c>
      <c r="E441" s="1">
        <v>13.0</v>
      </c>
      <c r="F441" s="1">
        <v>0.0</v>
      </c>
      <c r="G441" s="1">
        <v>12.0</v>
      </c>
      <c r="H441" s="1">
        <v>1.0</v>
      </c>
    </row>
    <row r="442">
      <c r="D442" s="2">
        <v>45663.0</v>
      </c>
      <c r="E442" s="1">
        <v>8.0</v>
      </c>
      <c r="F442" s="1">
        <v>0.0</v>
      </c>
      <c r="G442" s="1">
        <v>8.0</v>
      </c>
      <c r="H442" s="1">
        <v>0.0</v>
      </c>
    </row>
    <row r="443">
      <c r="D443" s="2">
        <v>45662.0</v>
      </c>
      <c r="E443" s="1">
        <v>11.0</v>
      </c>
      <c r="F443" s="1">
        <v>0.0</v>
      </c>
      <c r="G443" s="1">
        <v>9.0</v>
      </c>
      <c r="H443" s="1">
        <v>2.0</v>
      </c>
    </row>
    <row r="444">
      <c r="D444" s="2">
        <v>45661.0</v>
      </c>
      <c r="E444" s="1">
        <v>6.0</v>
      </c>
      <c r="F444" s="1">
        <v>0.0</v>
      </c>
      <c r="G444" s="1">
        <v>3.0</v>
      </c>
      <c r="H444" s="1">
        <v>3.0</v>
      </c>
    </row>
    <row r="445">
      <c r="D445" s="2">
        <v>45660.0</v>
      </c>
      <c r="E445" s="1">
        <v>18.0</v>
      </c>
      <c r="F445" s="1">
        <v>0.0</v>
      </c>
      <c r="G445" s="1">
        <v>14.0</v>
      </c>
      <c r="H445" s="1">
        <v>4.0</v>
      </c>
    </row>
    <row r="446">
      <c r="D446" s="2">
        <v>45659.0</v>
      </c>
      <c r="E446" s="1">
        <v>19.0</v>
      </c>
      <c r="F446" s="1">
        <v>0.0</v>
      </c>
      <c r="G446" s="1">
        <v>16.0</v>
      </c>
      <c r="H446" s="1">
        <v>3.0</v>
      </c>
    </row>
    <row r="447">
      <c r="D447" s="2">
        <v>45658.0</v>
      </c>
      <c r="E447" s="1">
        <v>8.0</v>
      </c>
      <c r="F447" s="1">
        <v>0.0</v>
      </c>
      <c r="G447" s="1">
        <v>5.0</v>
      </c>
      <c r="H447" s="1">
        <v>3.0</v>
      </c>
    </row>
    <row r="448">
      <c r="D448" s="2">
        <v>45657.0</v>
      </c>
      <c r="E448" s="1">
        <v>8.0</v>
      </c>
      <c r="F448" s="1">
        <v>0.0</v>
      </c>
      <c r="G448" s="1">
        <v>8.0</v>
      </c>
      <c r="H448" s="1">
        <v>0.0</v>
      </c>
    </row>
    <row r="449">
      <c r="D449" s="2">
        <v>45656.0</v>
      </c>
      <c r="E449" s="1">
        <v>13.0</v>
      </c>
      <c r="F449" s="1">
        <v>0.0</v>
      </c>
      <c r="G449" s="1">
        <v>12.0</v>
      </c>
      <c r="H449" s="1">
        <v>1.0</v>
      </c>
    </row>
    <row r="450">
      <c r="D450" s="2">
        <v>45655.0</v>
      </c>
      <c r="E450" s="1">
        <v>14.0</v>
      </c>
      <c r="F450" s="1">
        <v>0.0</v>
      </c>
      <c r="G450" s="1">
        <v>11.0</v>
      </c>
      <c r="H450" s="1">
        <v>3.0</v>
      </c>
    </row>
    <row r="451">
      <c r="D451" s="2">
        <v>45654.0</v>
      </c>
      <c r="E451" s="1">
        <v>8.0</v>
      </c>
      <c r="F451" s="1">
        <v>0.0</v>
      </c>
      <c r="G451" s="1">
        <v>7.0</v>
      </c>
      <c r="H451" s="1">
        <v>1.0</v>
      </c>
    </row>
    <row r="452">
      <c r="D452" s="2">
        <v>45653.0</v>
      </c>
      <c r="E452" s="1">
        <v>19.0</v>
      </c>
      <c r="F452" s="1">
        <v>0.0</v>
      </c>
      <c r="G452" s="1">
        <v>17.0</v>
      </c>
      <c r="H452" s="1">
        <v>2.0</v>
      </c>
    </row>
    <row r="453">
      <c r="D453" s="2">
        <v>45652.0</v>
      </c>
      <c r="E453" s="1">
        <v>13.0</v>
      </c>
      <c r="F453" s="1">
        <v>0.0</v>
      </c>
      <c r="G453" s="1">
        <v>12.0</v>
      </c>
      <c r="H453" s="1">
        <v>1.0</v>
      </c>
    </row>
    <row r="454">
      <c r="D454" s="2">
        <v>45651.0</v>
      </c>
      <c r="E454" s="1">
        <v>5.0</v>
      </c>
      <c r="F454" s="1">
        <v>0.0</v>
      </c>
      <c r="G454" s="1">
        <v>5.0</v>
      </c>
      <c r="H454" s="1">
        <v>0.0</v>
      </c>
    </row>
    <row r="455">
      <c r="D455" s="2">
        <v>45650.0</v>
      </c>
      <c r="E455" s="1">
        <v>6.0</v>
      </c>
      <c r="F455" s="1">
        <v>0.0</v>
      </c>
      <c r="G455" s="1">
        <v>6.0</v>
      </c>
      <c r="H455" s="1">
        <v>0.0</v>
      </c>
    </row>
    <row r="456">
      <c r="D456" s="2">
        <v>45649.0</v>
      </c>
      <c r="E456" s="1">
        <v>5.0</v>
      </c>
      <c r="F456" s="1">
        <v>0.0</v>
      </c>
      <c r="G456" s="1">
        <v>5.0</v>
      </c>
      <c r="H456" s="1">
        <v>0.0</v>
      </c>
    </row>
    <row r="457">
      <c r="D457" s="2">
        <v>45648.0</v>
      </c>
      <c r="E457" s="1">
        <v>14.0</v>
      </c>
      <c r="F457" s="1">
        <v>0.0</v>
      </c>
      <c r="G457" s="1">
        <v>12.0</v>
      </c>
      <c r="H457" s="1">
        <v>2.0</v>
      </c>
    </row>
    <row r="458">
      <c r="D458" s="2">
        <v>45647.0</v>
      </c>
      <c r="E458" s="1">
        <v>12.0</v>
      </c>
      <c r="F458" s="1">
        <v>0.0</v>
      </c>
      <c r="G458" s="1">
        <v>12.0</v>
      </c>
      <c r="H458" s="1">
        <v>0.0</v>
      </c>
    </row>
    <row r="459">
      <c r="D459" s="2">
        <v>45646.0</v>
      </c>
      <c r="E459" s="1">
        <v>8.0</v>
      </c>
      <c r="F459" s="1">
        <v>0.0</v>
      </c>
      <c r="G459" s="1">
        <v>8.0</v>
      </c>
      <c r="H459" s="1">
        <v>0.0</v>
      </c>
    </row>
    <row r="460">
      <c r="D460" s="2">
        <v>45645.0</v>
      </c>
      <c r="E460" s="1">
        <v>6.0</v>
      </c>
      <c r="F460" s="1">
        <v>0.0</v>
      </c>
      <c r="G460" s="1">
        <v>6.0</v>
      </c>
      <c r="H460" s="1">
        <v>0.0</v>
      </c>
    </row>
    <row r="461">
      <c r="D461" s="2">
        <v>45644.0</v>
      </c>
      <c r="E461" s="1">
        <v>8.0</v>
      </c>
      <c r="F461" s="1">
        <v>0.0</v>
      </c>
      <c r="G461" s="1">
        <v>7.0</v>
      </c>
      <c r="H461" s="1">
        <v>1.0</v>
      </c>
    </row>
    <row r="462">
      <c r="D462" s="2">
        <v>45643.0</v>
      </c>
      <c r="E462" s="1">
        <v>11.0</v>
      </c>
      <c r="F462" s="1">
        <v>0.0</v>
      </c>
      <c r="G462" s="1">
        <v>10.0</v>
      </c>
      <c r="H462" s="1">
        <v>1.0</v>
      </c>
    </row>
    <row r="463">
      <c r="D463" s="2">
        <v>45642.0</v>
      </c>
      <c r="E463" s="1">
        <v>5.0</v>
      </c>
      <c r="F463" s="1">
        <v>0.0</v>
      </c>
      <c r="G463" s="1">
        <v>5.0</v>
      </c>
      <c r="H463" s="1">
        <v>0.0</v>
      </c>
    </row>
    <row r="464">
      <c r="D464" s="2">
        <v>45641.0</v>
      </c>
      <c r="E464" s="1">
        <v>9.0</v>
      </c>
      <c r="F464" s="1">
        <v>0.0</v>
      </c>
      <c r="G464" s="1">
        <v>9.0</v>
      </c>
      <c r="H464" s="1">
        <v>0.0</v>
      </c>
    </row>
    <row r="465">
      <c r="D465" s="2">
        <v>45640.0</v>
      </c>
      <c r="E465" s="1">
        <v>3.0</v>
      </c>
      <c r="F465" s="1">
        <v>0.0</v>
      </c>
      <c r="G465" s="1">
        <v>3.0</v>
      </c>
      <c r="H465" s="1">
        <v>0.0</v>
      </c>
    </row>
    <row r="466">
      <c r="D466" s="2">
        <v>45639.0</v>
      </c>
      <c r="E466" s="1">
        <v>4.0</v>
      </c>
      <c r="F466" s="1">
        <v>0.0</v>
      </c>
      <c r="G466" s="1">
        <v>4.0</v>
      </c>
      <c r="H466" s="1">
        <v>0.0</v>
      </c>
    </row>
    <row r="467">
      <c r="D467" s="2">
        <v>45638.0</v>
      </c>
      <c r="E467" s="1">
        <v>6.0</v>
      </c>
      <c r="F467" s="1">
        <v>0.0</v>
      </c>
      <c r="G467" s="1">
        <v>6.0</v>
      </c>
      <c r="H467" s="1">
        <v>0.0</v>
      </c>
    </row>
    <row r="468">
      <c r="D468" s="2">
        <v>45637.0</v>
      </c>
      <c r="E468" s="1">
        <v>1.0</v>
      </c>
      <c r="F468" s="1">
        <v>0.0</v>
      </c>
      <c r="G468" s="1">
        <v>1.0</v>
      </c>
      <c r="H468" s="1">
        <v>0.0</v>
      </c>
    </row>
    <row r="469">
      <c r="D469" s="2">
        <v>45636.0</v>
      </c>
      <c r="E469" s="1">
        <v>6.0</v>
      </c>
      <c r="F469" s="1">
        <v>0.0</v>
      </c>
      <c r="G469" s="1">
        <v>6.0</v>
      </c>
      <c r="H469" s="1">
        <v>0.0</v>
      </c>
    </row>
    <row r="470">
      <c r="D470" s="2">
        <v>45635.0</v>
      </c>
      <c r="E470" s="1">
        <v>8.0</v>
      </c>
      <c r="F470" s="1">
        <v>0.0</v>
      </c>
      <c r="G470" s="1">
        <v>8.0</v>
      </c>
      <c r="H470" s="1">
        <v>0.0</v>
      </c>
    </row>
    <row r="471">
      <c r="D471" s="2">
        <v>45634.0</v>
      </c>
      <c r="E471" s="1">
        <v>10.0</v>
      </c>
      <c r="F471" s="1">
        <v>0.0</v>
      </c>
      <c r="G471" s="1">
        <v>7.0</v>
      </c>
      <c r="H471" s="1">
        <v>3.0</v>
      </c>
    </row>
    <row r="472">
      <c r="D472" s="2">
        <v>45633.0</v>
      </c>
      <c r="E472" s="1">
        <v>6.0</v>
      </c>
      <c r="F472" s="1">
        <v>0.0</v>
      </c>
      <c r="G472" s="1">
        <v>6.0</v>
      </c>
      <c r="H472" s="1">
        <v>0.0</v>
      </c>
    </row>
    <row r="473">
      <c r="D473" s="2">
        <v>45632.0</v>
      </c>
      <c r="E473" s="1">
        <v>14.0</v>
      </c>
      <c r="F473" s="1">
        <v>0.0</v>
      </c>
      <c r="G473" s="1">
        <v>13.0</v>
      </c>
      <c r="H473" s="1">
        <v>1.0</v>
      </c>
    </row>
    <row r="474">
      <c r="D474" s="2">
        <v>45631.0</v>
      </c>
      <c r="E474" s="1">
        <v>19.0</v>
      </c>
      <c r="F474" s="1">
        <v>0.0</v>
      </c>
      <c r="G474" s="1">
        <v>18.0</v>
      </c>
      <c r="H474" s="1">
        <v>1.0</v>
      </c>
    </row>
    <row r="475">
      <c r="D475" s="2">
        <v>45630.0</v>
      </c>
      <c r="E475" s="1">
        <v>14.0</v>
      </c>
      <c r="F475" s="1">
        <v>0.0</v>
      </c>
      <c r="G475" s="1">
        <v>12.0</v>
      </c>
      <c r="H475" s="1">
        <v>2.0</v>
      </c>
    </row>
    <row r="476">
      <c r="D476" s="2">
        <v>45629.0</v>
      </c>
      <c r="E476" s="1">
        <v>13.0</v>
      </c>
      <c r="F476" s="1">
        <v>0.0</v>
      </c>
      <c r="G476" s="1">
        <v>11.0</v>
      </c>
      <c r="H476" s="1">
        <v>2.0</v>
      </c>
    </row>
    <row r="477">
      <c r="D477" s="2">
        <v>45628.0</v>
      </c>
      <c r="E477" s="1">
        <v>18.0</v>
      </c>
      <c r="F477" s="1">
        <v>0.0</v>
      </c>
      <c r="G477" s="1">
        <v>17.0</v>
      </c>
      <c r="H477" s="1">
        <v>1.0</v>
      </c>
    </row>
    <row r="478">
      <c r="D478" s="2">
        <v>45627.0</v>
      </c>
      <c r="E478" s="1">
        <v>12.0</v>
      </c>
      <c r="F478" s="1">
        <v>0.0</v>
      </c>
      <c r="G478" s="1">
        <v>10.0</v>
      </c>
      <c r="H478" s="1">
        <v>2.0</v>
      </c>
    </row>
    <row r="479">
      <c r="D479" s="2">
        <v>45626.0</v>
      </c>
      <c r="E479" s="1">
        <v>9.0</v>
      </c>
      <c r="F479" s="1">
        <v>0.0</v>
      </c>
      <c r="G479" s="1">
        <v>8.0</v>
      </c>
      <c r="H479" s="1">
        <v>1.0</v>
      </c>
    </row>
    <row r="480">
      <c r="D480" s="2">
        <v>45625.0</v>
      </c>
      <c r="E480" s="1">
        <v>18.0</v>
      </c>
      <c r="F480" s="1">
        <v>0.0</v>
      </c>
      <c r="G480" s="1">
        <v>16.0</v>
      </c>
      <c r="H480" s="1">
        <v>2.0</v>
      </c>
    </row>
    <row r="481">
      <c r="D481" s="2">
        <v>45624.0</v>
      </c>
      <c r="E481" s="1">
        <v>14.0</v>
      </c>
      <c r="F481" s="1">
        <v>0.0</v>
      </c>
      <c r="G481" s="1">
        <v>14.0</v>
      </c>
      <c r="H481" s="1">
        <v>0.0</v>
      </c>
    </row>
    <row r="482">
      <c r="D482" s="2">
        <v>45623.0</v>
      </c>
      <c r="E482" s="1">
        <v>12.0</v>
      </c>
      <c r="F482" s="1">
        <v>0.0</v>
      </c>
      <c r="G482" s="1">
        <v>11.0</v>
      </c>
      <c r="H482" s="1">
        <v>1.0</v>
      </c>
    </row>
    <row r="483">
      <c r="D483" s="2">
        <v>45622.0</v>
      </c>
      <c r="E483" s="1">
        <v>6.0</v>
      </c>
      <c r="F483" s="1">
        <v>0.0</v>
      </c>
      <c r="G483" s="1">
        <v>6.0</v>
      </c>
      <c r="H483" s="1">
        <v>0.0</v>
      </c>
    </row>
    <row r="484">
      <c r="D484" s="2">
        <v>45621.0</v>
      </c>
      <c r="E484" s="1">
        <v>15.0</v>
      </c>
      <c r="F484" s="1">
        <v>0.0</v>
      </c>
      <c r="G484" s="1">
        <v>15.0</v>
      </c>
      <c r="H484" s="1">
        <v>0.0</v>
      </c>
    </row>
    <row r="485">
      <c r="D485" s="2">
        <v>45620.0</v>
      </c>
      <c r="E485" s="1">
        <v>12.0</v>
      </c>
      <c r="F485" s="1">
        <v>0.0</v>
      </c>
      <c r="G485" s="1">
        <v>12.0</v>
      </c>
      <c r="H485" s="1">
        <v>0.0</v>
      </c>
    </row>
    <row r="486">
      <c r="D486" s="2">
        <v>45619.0</v>
      </c>
      <c r="E486" s="1">
        <v>10.0</v>
      </c>
      <c r="F486" s="1">
        <v>0.0</v>
      </c>
      <c r="G486" s="1">
        <v>10.0</v>
      </c>
      <c r="H486" s="1">
        <v>0.0</v>
      </c>
    </row>
    <row r="487">
      <c r="D487" s="2">
        <v>45618.0</v>
      </c>
      <c r="E487" s="1">
        <v>15.0</v>
      </c>
      <c r="F487" s="1">
        <v>0.0</v>
      </c>
      <c r="G487" s="1">
        <v>12.0</v>
      </c>
      <c r="H487" s="1">
        <v>3.0</v>
      </c>
    </row>
    <row r="488">
      <c r="D488" s="2">
        <v>45617.0</v>
      </c>
      <c r="E488" s="1">
        <v>13.0</v>
      </c>
      <c r="F488" s="1">
        <v>0.0</v>
      </c>
      <c r="G488" s="1">
        <v>12.0</v>
      </c>
      <c r="H488" s="1">
        <v>1.0</v>
      </c>
    </row>
    <row r="489">
      <c r="D489" s="2">
        <v>45616.0</v>
      </c>
      <c r="E489" s="1">
        <v>16.0</v>
      </c>
      <c r="F489" s="1">
        <v>0.0</v>
      </c>
      <c r="G489" s="1">
        <v>14.0</v>
      </c>
      <c r="H489" s="1">
        <v>2.0</v>
      </c>
    </row>
    <row r="490">
      <c r="D490" s="2">
        <v>45615.0</v>
      </c>
      <c r="E490" s="1">
        <v>9.0</v>
      </c>
      <c r="F490" s="1">
        <v>0.0</v>
      </c>
      <c r="G490" s="1">
        <v>9.0</v>
      </c>
      <c r="H490" s="1">
        <v>0.0</v>
      </c>
    </row>
    <row r="491">
      <c r="D491" s="2">
        <v>45614.0</v>
      </c>
      <c r="E491" s="1">
        <v>13.0</v>
      </c>
      <c r="F491" s="1">
        <v>0.0</v>
      </c>
      <c r="G491" s="1">
        <v>13.0</v>
      </c>
      <c r="H491" s="1">
        <v>0.0</v>
      </c>
    </row>
    <row r="492">
      <c r="D492" s="2">
        <v>45613.0</v>
      </c>
      <c r="E492" s="1">
        <v>8.0</v>
      </c>
      <c r="F492" s="1">
        <v>0.0</v>
      </c>
      <c r="G492" s="1">
        <v>7.0</v>
      </c>
      <c r="H492" s="1">
        <v>1.0</v>
      </c>
    </row>
    <row r="493">
      <c r="D493" s="2">
        <v>45612.0</v>
      </c>
      <c r="E493" s="1">
        <v>7.0</v>
      </c>
      <c r="F493" s="1">
        <v>0.0</v>
      </c>
      <c r="G493" s="1">
        <v>7.0</v>
      </c>
      <c r="H493" s="1">
        <v>0.0</v>
      </c>
    </row>
    <row r="494">
      <c r="D494" s="2">
        <v>45611.0</v>
      </c>
      <c r="E494" s="1">
        <v>7.0</v>
      </c>
      <c r="F494" s="1">
        <v>0.0</v>
      </c>
      <c r="G494" s="1">
        <v>7.0</v>
      </c>
      <c r="H494" s="1">
        <v>0.0</v>
      </c>
    </row>
    <row r="495">
      <c r="D495" s="2">
        <v>45610.0</v>
      </c>
      <c r="E495" s="1">
        <v>15.0</v>
      </c>
      <c r="F495" s="1">
        <v>0.0</v>
      </c>
      <c r="G495" s="1">
        <v>15.0</v>
      </c>
      <c r="H495" s="1">
        <v>0.0</v>
      </c>
    </row>
    <row r="496">
      <c r="D496" s="2">
        <v>45609.0</v>
      </c>
      <c r="E496" s="1">
        <v>16.0</v>
      </c>
      <c r="F496" s="1">
        <v>0.0</v>
      </c>
      <c r="G496" s="1">
        <v>13.0</v>
      </c>
      <c r="H496" s="1">
        <v>3.0</v>
      </c>
    </row>
    <row r="497">
      <c r="D497" s="2">
        <v>45608.0</v>
      </c>
      <c r="E497" s="1">
        <v>10.0</v>
      </c>
      <c r="F497" s="1">
        <v>0.0</v>
      </c>
      <c r="G497" s="1">
        <v>10.0</v>
      </c>
      <c r="H497" s="1">
        <v>0.0</v>
      </c>
    </row>
    <row r="498">
      <c r="D498" s="2">
        <v>45607.0</v>
      </c>
      <c r="E498" s="1">
        <v>26.0</v>
      </c>
      <c r="F498" s="1">
        <v>0.0</v>
      </c>
      <c r="G498" s="1">
        <v>22.0</v>
      </c>
      <c r="H498" s="1">
        <v>4.0</v>
      </c>
    </row>
    <row r="499">
      <c r="D499" s="2">
        <v>45606.0</v>
      </c>
      <c r="E499" s="1">
        <v>18.0</v>
      </c>
      <c r="F499" s="1">
        <v>0.0</v>
      </c>
      <c r="G499" s="1">
        <v>17.0</v>
      </c>
      <c r="H499" s="1">
        <v>1.0</v>
      </c>
    </row>
    <row r="500">
      <c r="D500" s="2">
        <v>45605.0</v>
      </c>
      <c r="E500" s="1">
        <v>11.0</v>
      </c>
      <c r="F500" s="1">
        <v>0.0</v>
      </c>
      <c r="G500" s="1">
        <v>10.0</v>
      </c>
      <c r="H500" s="1">
        <v>1.0</v>
      </c>
    </row>
    <row r="501">
      <c r="D501" s="2">
        <v>45604.0</v>
      </c>
      <c r="E501" s="1">
        <v>18.0</v>
      </c>
      <c r="F501" s="1">
        <v>0.0</v>
      </c>
      <c r="G501" s="1">
        <v>16.0</v>
      </c>
      <c r="H501" s="1">
        <v>2.0</v>
      </c>
    </row>
    <row r="502">
      <c r="D502" s="2">
        <v>45603.0</v>
      </c>
      <c r="E502" s="1">
        <v>21.0</v>
      </c>
      <c r="F502" s="1">
        <v>0.0</v>
      </c>
      <c r="G502" s="1">
        <v>21.0</v>
      </c>
      <c r="H502" s="1">
        <v>0.0</v>
      </c>
    </row>
    <row r="503">
      <c r="D503" s="2">
        <v>45602.0</v>
      </c>
      <c r="E503" s="1">
        <v>20.0</v>
      </c>
      <c r="F503" s="1">
        <v>0.0</v>
      </c>
      <c r="G503" s="1">
        <v>20.0</v>
      </c>
      <c r="H503" s="1">
        <v>0.0</v>
      </c>
    </row>
    <row r="504">
      <c r="D504" s="2">
        <v>45601.0</v>
      </c>
      <c r="E504" s="1">
        <v>19.0</v>
      </c>
      <c r="F504" s="1">
        <v>0.0</v>
      </c>
      <c r="G504" s="1">
        <v>16.0</v>
      </c>
      <c r="H504" s="1">
        <v>3.0</v>
      </c>
    </row>
    <row r="505">
      <c r="D505" s="2">
        <v>45600.0</v>
      </c>
      <c r="E505" s="1">
        <v>24.0</v>
      </c>
      <c r="F505" s="1">
        <v>0.0</v>
      </c>
      <c r="G505" s="1">
        <v>24.0</v>
      </c>
      <c r="H505" s="1">
        <v>0.0</v>
      </c>
    </row>
    <row r="506">
      <c r="D506" s="2">
        <v>45599.0</v>
      </c>
      <c r="E506" s="1">
        <v>18.0</v>
      </c>
      <c r="F506" s="1">
        <v>0.0</v>
      </c>
      <c r="G506" s="1">
        <v>18.0</v>
      </c>
      <c r="H506" s="1">
        <v>0.0</v>
      </c>
    </row>
    <row r="507">
      <c r="D507" s="2">
        <v>45598.0</v>
      </c>
      <c r="E507" s="1">
        <v>17.0</v>
      </c>
      <c r="F507" s="1">
        <v>0.0</v>
      </c>
      <c r="G507" s="1">
        <v>13.0</v>
      </c>
      <c r="H507" s="1">
        <v>4.0</v>
      </c>
    </row>
    <row r="508">
      <c r="D508" s="2">
        <v>45597.0</v>
      </c>
      <c r="E508" s="1">
        <v>22.0</v>
      </c>
      <c r="F508" s="1">
        <v>0.0</v>
      </c>
      <c r="G508" s="1">
        <v>21.0</v>
      </c>
      <c r="H508" s="1">
        <v>1.0</v>
      </c>
    </row>
    <row r="509">
      <c r="D509" s="2">
        <v>45596.0</v>
      </c>
      <c r="E509" s="1">
        <v>15.0</v>
      </c>
      <c r="F509" s="1">
        <v>0.0</v>
      </c>
      <c r="G509" s="1">
        <v>12.0</v>
      </c>
      <c r="H509" s="1">
        <v>3.0</v>
      </c>
    </row>
    <row r="510">
      <c r="D510" s="2">
        <v>45595.0</v>
      </c>
      <c r="E510" s="1">
        <v>24.0</v>
      </c>
      <c r="F510" s="1">
        <v>0.0</v>
      </c>
      <c r="G510" s="1">
        <v>22.0</v>
      </c>
      <c r="H510" s="1">
        <v>2.0</v>
      </c>
    </row>
    <row r="511">
      <c r="D511" s="2">
        <v>45594.0</v>
      </c>
      <c r="E511" s="1">
        <v>23.0</v>
      </c>
      <c r="F511" s="1">
        <v>0.0</v>
      </c>
      <c r="G511" s="1">
        <v>20.0</v>
      </c>
      <c r="H511" s="1">
        <v>3.0</v>
      </c>
    </row>
    <row r="512">
      <c r="D512" s="2">
        <v>45593.0</v>
      </c>
      <c r="E512" s="1">
        <v>29.0</v>
      </c>
      <c r="F512" s="1">
        <v>0.0</v>
      </c>
      <c r="G512" s="1">
        <v>27.0</v>
      </c>
      <c r="H512" s="1">
        <v>2.0</v>
      </c>
    </row>
    <row r="513">
      <c r="D513" s="2">
        <v>45592.0</v>
      </c>
      <c r="E513" s="1">
        <v>30.0</v>
      </c>
      <c r="F513" s="1">
        <v>0.0</v>
      </c>
      <c r="G513" s="1">
        <v>28.0</v>
      </c>
      <c r="H513" s="1">
        <v>2.0</v>
      </c>
    </row>
    <row r="514">
      <c r="D514" s="2">
        <v>45591.0</v>
      </c>
      <c r="E514" s="1">
        <v>29.0</v>
      </c>
      <c r="F514" s="1">
        <v>0.0</v>
      </c>
      <c r="G514" s="1">
        <v>27.0</v>
      </c>
      <c r="H514" s="1">
        <v>2.0</v>
      </c>
    </row>
    <row r="515">
      <c r="D515" s="2">
        <v>45590.0</v>
      </c>
      <c r="E515" s="1">
        <v>37.0</v>
      </c>
      <c r="F515" s="1">
        <v>0.0</v>
      </c>
      <c r="G515" s="1">
        <v>34.0</v>
      </c>
      <c r="H515" s="1">
        <v>3.0</v>
      </c>
    </row>
    <row r="516">
      <c r="D516" s="2">
        <v>45589.0</v>
      </c>
      <c r="E516" s="1">
        <v>22.0</v>
      </c>
      <c r="F516" s="1">
        <v>0.0</v>
      </c>
      <c r="G516" s="1">
        <v>22.0</v>
      </c>
      <c r="H516" s="1">
        <v>0.0</v>
      </c>
    </row>
    <row r="517">
      <c r="D517" s="2">
        <v>45588.0</v>
      </c>
      <c r="E517" s="1">
        <v>35.0</v>
      </c>
      <c r="F517" s="1">
        <v>0.0</v>
      </c>
      <c r="G517" s="1">
        <v>33.0</v>
      </c>
      <c r="H517" s="1">
        <v>2.0</v>
      </c>
    </row>
    <row r="518">
      <c r="D518" s="2">
        <v>45587.0</v>
      </c>
      <c r="E518" s="1">
        <v>20.0</v>
      </c>
      <c r="F518" s="1">
        <v>0.0</v>
      </c>
      <c r="G518" s="1">
        <v>19.0</v>
      </c>
      <c r="H518" s="1">
        <v>1.0</v>
      </c>
    </row>
    <row r="519">
      <c r="D519" s="2">
        <v>45586.0</v>
      </c>
      <c r="E519" s="1">
        <v>21.0</v>
      </c>
      <c r="F519" s="1">
        <v>0.0</v>
      </c>
      <c r="G519" s="1">
        <v>18.0</v>
      </c>
      <c r="H519" s="1">
        <v>3.0</v>
      </c>
    </row>
    <row r="520">
      <c r="D520" s="2">
        <v>45585.0</v>
      </c>
      <c r="E520" s="1">
        <v>15.0</v>
      </c>
      <c r="F520" s="1">
        <v>0.0</v>
      </c>
      <c r="G520" s="1">
        <v>15.0</v>
      </c>
      <c r="H520" s="1">
        <v>0.0</v>
      </c>
    </row>
    <row r="521">
      <c r="D521" s="2">
        <v>45584.0</v>
      </c>
      <c r="E521" s="1">
        <v>12.0</v>
      </c>
      <c r="F521" s="1">
        <v>0.0</v>
      </c>
      <c r="G521" s="1">
        <v>11.0</v>
      </c>
      <c r="H521" s="1">
        <v>1.0</v>
      </c>
    </row>
    <row r="522">
      <c r="D522" s="2">
        <v>45583.0</v>
      </c>
      <c r="E522" s="1">
        <v>16.0</v>
      </c>
      <c r="F522" s="1">
        <v>0.0</v>
      </c>
      <c r="G522" s="1">
        <v>13.0</v>
      </c>
      <c r="H522" s="1">
        <v>3.0</v>
      </c>
    </row>
    <row r="523">
      <c r="D523" s="2">
        <v>45582.0</v>
      </c>
      <c r="E523" s="1">
        <v>16.0</v>
      </c>
      <c r="F523" s="1">
        <v>0.0</v>
      </c>
      <c r="G523" s="1">
        <v>15.0</v>
      </c>
      <c r="H523" s="1">
        <v>1.0</v>
      </c>
    </row>
    <row r="524">
      <c r="D524" s="2">
        <v>45581.0</v>
      </c>
      <c r="E524" s="1">
        <v>22.0</v>
      </c>
      <c r="F524" s="1">
        <v>0.0</v>
      </c>
      <c r="G524" s="1">
        <v>22.0</v>
      </c>
      <c r="H524" s="1">
        <v>0.0</v>
      </c>
    </row>
    <row r="525">
      <c r="D525" s="2">
        <v>45580.0</v>
      </c>
      <c r="E525" s="1">
        <v>19.0</v>
      </c>
      <c r="F525" s="1">
        <v>0.0</v>
      </c>
      <c r="G525" s="1">
        <v>17.0</v>
      </c>
      <c r="H525" s="1">
        <v>2.0</v>
      </c>
    </row>
    <row r="526">
      <c r="D526" s="2">
        <v>45579.0</v>
      </c>
      <c r="E526" s="1">
        <v>15.0</v>
      </c>
      <c r="F526" s="1">
        <v>0.0</v>
      </c>
      <c r="G526" s="1">
        <v>13.0</v>
      </c>
      <c r="H526" s="1">
        <v>2.0</v>
      </c>
    </row>
    <row r="527">
      <c r="D527" s="2">
        <v>45578.0</v>
      </c>
      <c r="E527" s="1">
        <v>14.0</v>
      </c>
      <c r="F527" s="1">
        <v>0.0</v>
      </c>
      <c r="G527" s="1">
        <v>14.0</v>
      </c>
      <c r="H527" s="1">
        <v>0.0</v>
      </c>
    </row>
    <row r="528">
      <c r="D528" s="2">
        <v>45577.0</v>
      </c>
      <c r="E528" s="1">
        <v>5.0</v>
      </c>
      <c r="F528" s="1">
        <v>0.0</v>
      </c>
      <c r="G528" s="1">
        <v>4.0</v>
      </c>
      <c r="H528" s="1">
        <v>1.0</v>
      </c>
    </row>
    <row r="529">
      <c r="D529" s="2">
        <v>45576.0</v>
      </c>
      <c r="E529" s="1">
        <v>14.0</v>
      </c>
      <c r="F529" s="1">
        <v>0.0</v>
      </c>
      <c r="G529" s="1">
        <v>12.0</v>
      </c>
      <c r="H529" s="1">
        <v>2.0</v>
      </c>
    </row>
    <row r="530">
      <c r="D530" s="2">
        <v>45575.0</v>
      </c>
      <c r="E530" s="1">
        <v>28.0</v>
      </c>
      <c r="F530" s="1">
        <v>0.0</v>
      </c>
      <c r="G530" s="1">
        <v>27.0</v>
      </c>
      <c r="H530" s="1">
        <v>1.0</v>
      </c>
    </row>
    <row r="531">
      <c r="D531" s="2">
        <v>45574.0</v>
      </c>
      <c r="E531" s="1">
        <v>24.0</v>
      </c>
      <c r="F531" s="1">
        <v>0.0</v>
      </c>
      <c r="G531" s="1">
        <v>22.0</v>
      </c>
      <c r="H531" s="1">
        <v>2.0</v>
      </c>
    </row>
    <row r="532">
      <c r="D532" s="2">
        <v>45573.0</v>
      </c>
      <c r="E532" s="1">
        <v>26.0</v>
      </c>
      <c r="F532" s="1">
        <v>0.0</v>
      </c>
      <c r="G532" s="1">
        <v>23.0</v>
      </c>
      <c r="H532" s="1">
        <v>3.0</v>
      </c>
    </row>
    <row r="533">
      <c r="D533" s="2">
        <v>45572.0</v>
      </c>
      <c r="E533" s="1">
        <v>27.0</v>
      </c>
      <c r="F533" s="1">
        <v>0.0</v>
      </c>
      <c r="G533" s="1">
        <v>25.0</v>
      </c>
      <c r="H533" s="1">
        <v>2.0</v>
      </c>
    </row>
    <row r="534">
      <c r="D534" s="2">
        <v>45571.0</v>
      </c>
      <c r="E534" s="1">
        <v>18.0</v>
      </c>
      <c r="F534" s="1">
        <v>0.0</v>
      </c>
      <c r="G534" s="1">
        <v>16.0</v>
      </c>
      <c r="H534" s="1">
        <v>2.0</v>
      </c>
    </row>
    <row r="535">
      <c r="D535" s="2">
        <v>45570.0</v>
      </c>
      <c r="E535" s="1">
        <v>4.0</v>
      </c>
      <c r="F535" s="1">
        <v>0.0</v>
      </c>
      <c r="G535" s="1">
        <v>4.0</v>
      </c>
      <c r="H535" s="1">
        <v>0.0</v>
      </c>
    </row>
    <row r="536">
      <c r="D536" s="2">
        <v>45569.0</v>
      </c>
      <c r="E536" s="1">
        <v>15.0</v>
      </c>
      <c r="F536" s="1">
        <v>0.0</v>
      </c>
      <c r="G536" s="1">
        <v>14.0</v>
      </c>
      <c r="H536" s="1">
        <v>1.0</v>
      </c>
    </row>
    <row r="537">
      <c r="D537" s="2">
        <v>45568.0</v>
      </c>
      <c r="E537" s="1">
        <v>16.0</v>
      </c>
      <c r="F537" s="1">
        <v>0.0</v>
      </c>
      <c r="G537" s="1">
        <v>12.0</v>
      </c>
      <c r="H537" s="1">
        <v>4.0</v>
      </c>
    </row>
    <row r="538">
      <c r="D538" s="2">
        <v>45567.0</v>
      </c>
      <c r="E538" s="1">
        <v>22.0</v>
      </c>
      <c r="F538" s="1">
        <v>0.0</v>
      </c>
      <c r="G538" s="1">
        <v>21.0</v>
      </c>
      <c r="H538" s="1">
        <v>1.0</v>
      </c>
    </row>
    <row r="539">
      <c r="D539" s="2">
        <v>45566.0</v>
      </c>
      <c r="E539" s="1">
        <v>28.0</v>
      </c>
      <c r="F539" s="1">
        <v>0.0</v>
      </c>
      <c r="G539" s="1">
        <v>27.0</v>
      </c>
      <c r="H539" s="1">
        <v>1.0</v>
      </c>
    </row>
    <row r="540">
      <c r="D540" s="2">
        <v>45565.0</v>
      </c>
      <c r="E540" s="1">
        <v>23.0</v>
      </c>
      <c r="F540" s="1">
        <v>0.0</v>
      </c>
      <c r="G540" s="1">
        <v>19.0</v>
      </c>
      <c r="H540" s="1">
        <v>4.0</v>
      </c>
    </row>
    <row r="541">
      <c r="D541" s="2">
        <v>45564.0</v>
      </c>
      <c r="E541" s="1">
        <v>21.0</v>
      </c>
      <c r="F541" s="1">
        <v>0.0</v>
      </c>
      <c r="G541" s="1">
        <v>17.0</v>
      </c>
      <c r="H541" s="1">
        <v>4.0</v>
      </c>
    </row>
    <row r="542">
      <c r="D542" s="2">
        <v>45563.0</v>
      </c>
      <c r="E542" s="1">
        <v>25.0</v>
      </c>
      <c r="F542" s="1">
        <v>0.0</v>
      </c>
      <c r="G542" s="1">
        <v>24.0</v>
      </c>
      <c r="H542" s="1">
        <v>1.0</v>
      </c>
    </row>
    <row r="543">
      <c r="D543" s="2">
        <v>45562.0</v>
      </c>
      <c r="E543" s="1">
        <v>13.0</v>
      </c>
      <c r="F543" s="1">
        <v>0.0</v>
      </c>
      <c r="G543" s="1">
        <v>11.0</v>
      </c>
      <c r="H543" s="1">
        <v>2.0</v>
      </c>
    </row>
    <row r="544">
      <c r="D544" s="2">
        <v>45561.0</v>
      </c>
      <c r="E544" s="1">
        <v>19.0</v>
      </c>
      <c r="F544" s="1">
        <v>0.0</v>
      </c>
      <c r="G544" s="1">
        <v>16.0</v>
      </c>
      <c r="H544" s="1">
        <v>3.0</v>
      </c>
    </row>
    <row r="545">
      <c r="D545" s="2">
        <v>45560.0</v>
      </c>
      <c r="E545" s="1">
        <v>25.0</v>
      </c>
      <c r="F545" s="1">
        <v>0.0</v>
      </c>
      <c r="G545" s="1">
        <v>23.0</v>
      </c>
      <c r="H545" s="1">
        <v>2.0</v>
      </c>
    </row>
    <row r="546">
      <c r="D546" s="2">
        <v>45559.0</v>
      </c>
      <c r="E546" s="1">
        <v>28.0</v>
      </c>
      <c r="F546" s="1">
        <v>0.0</v>
      </c>
      <c r="G546" s="1">
        <v>28.0</v>
      </c>
      <c r="H546" s="1">
        <v>0.0</v>
      </c>
    </row>
    <row r="547">
      <c r="D547" s="2">
        <v>45558.0</v>
      </c>
      <c r="E547" s="1">
        <v>20.0</v>
      </c>
      <c r="F547" s="1">
        <v>0.0</v>
      </c>
      <c r="G547" s="1">
        <v>18.0</v>
      </c>
      <c r="H547" s="1">
        <v>2.0</v>
      </c>
    </row>
    <row r="548">
      <c r="D548" s="2">
        <v>45557.0</v>
      </c>
      <c r="E548" s="1">
        <v>26.0</v>
      </c>
      <c r="F548" s="1">
        <v>0.0</v>
      </c>
      <c r="G548" s="1">
        <v>24.0</v>
      </c>
      <c r="H548" s="1">
        <v>2.0</v>
      </c>
    </row>
    <row r="549">
      <c r="D549" s="2">
        <v>45556.0</v>
      </c>
      <c r="E549" s="1">
        <v>19.0</v>
      </c>
      <c r="F549" s="1">
        <v>0.0</v>
      </c>
      <c r="G549" s="1">
        <v>18.0</v>
      </c>
      <c r="H549" s="1">
        <v>1.0</v>
      </c>
    </row>
    <row r="550">
      <c r="D550" s="2">
        <v>45555.0</v>
      </c>
      <c r="E550" s="1">
        <v>20.0</v>
      </c>
      <c r="F550" s="1">
        <v>0.0</v>
      </c>
      <c r="G550" s="1">
        <v>19.0</v>
      </c>
      <c r="H550" s="1">
        <v>1.0</v>
      </c>
    </row>
    <row r="551">
      <c r="D551" s="2">
        <v>45554.0</v>
      </c>
      <c r="E551" s="1">
        <v>28.0</v>
      </c>
      <c r="F551" s="1">
        <v>0.0</v>
      </c>
      <c r="G551" s="1">
        <v>27.0</v>
      </c>
      <c r="H551" s="1">
        <v>1.0</v>
      </c>
    </row>
    <row r="552">
      <c r="D552" s="2">
        <v>45553.0</v>
      </c>
      <c r="E552" s="1">
        <v>21.0</v>
      </c>
      <c r="F552" s="1">
        <v>0.0</v>
      </c>
      <c r="G552" s="1">
        <v>18.0</v>
      </c>
      <c r="H552" s="1">
        <v>3.0</v>
      </c>
    </row>
    <row r="553">
      <c r="D553" s="2">
        <v>45552.0</v>
      </c>
      <c r="E553" s="1">
        <v>31.0</v>
      </c>
      <c r="F553" s="1">
        <v>0.0</v>
      </c>
      <c r="G553" s="1">
        <v>28.0</v>
      </c>
      <c r="H553" s="1">
        <v>3.0</v>
      </c>
    </row>
    <row r="554">
      <c r="D554" s="2">
        <v>45551.0</v>
      </c>
      <c r="E554" s="1">
        <v>24.0</v>
      </c>
      <c r="F554" s="1">
        <v>0.0</v>
      </c>
      <c r="G554" s="1">
        <v>20.0</v>
      </c>
      <c r="H554" s="1">
        <v>4.0</v>
      </c>
    </row>
    <row r="555">
      <c r="D555" s="2">
        <v>45550.0</v>
      </c>
      <c r="E555" s="1">
        <v>23.0</v>
      </c>
      <c r="F555" s="1">
        <v>0.0</v>
      </c>
      <c r="G555" s="1">
        <v>21.0</v>
      </c>
      <c r="H555" s="1">
        <v>2.0</v>
      </c>
    </row>
    <row r="556">
      <c r="D556" s="2">
        <v>45549.0</v>
      </c>
      <c r="E556" s="1">
        <v>13.0</v>
      </c>
      <c r="F556" s="1">
        <v>0.0</v>
      </c>
      <c r="G556" s="1">
        <v>12.0</v>
      </c>
      <c r="H556" s="1">
        <v>1.0</v>
      </c>
    </row>
    <row r="557">
      <c r="D557" s="2">
        <v>45548.0</v>
      </c>
      <c r="E557" s="1">
        <v>23.0</v>
      </c>
      <c r="F557" s="1">
        <v>0.0</v>
      </c>
      <c r="G557" s="1">
        <v>22.0</v>
      </c>
      <c r="H557" s="1">
        <v>1.0</v>
      </c>
    </row>
    <row r="558">
      <c r="D558" s="2">
        <v>45547.0</v>
      </c>
      <c r="E558" s="1">
        <v>22.0</v>
      </c>
      <c r="F558" s="1">
        <v>0.0</v>
      </c>
      <c r="G558" s="1">
        <v>21.0</v>
      </c>
      <c r="H558" s="1">
        <v>1.0</v>
      </c>
    </row>
    <row r="559">
      <c r="D559" s="2">
        <v>45546.0</v>
      </c>
      <c r="E559" s="1">
        <v>30.0</v>
      </c>
      <c r="F559" s="1">
        <v>0.0</v>
      </c>
      <c r="G559" s="1">
        <v>30.0</v>
      </c>
      <c r="H559" s="1">
        <v>0.0</v>
      </c>
    </row>
    <row r="560">
      <c r="D560" s="2">
        <v>45545.0</v>
      </c>
      <c r="E560" s="1">
        <v>32.0</v>
      </c>
      <c r="F560" s="1">
        <v>0.0</v>
      </c>
      <c r="G560" s="1">
        <v>30.0</v>
      </c>
      <c r="H560" s="1">
        <v>2.0</v>
      </c>
    </row>
    <row r="561">
      <c r="D561" s="2">
        <v>45544.0</v>
      </c>
      <c r="E561" s="1">
        <v>32.0</v>
      </c>
      <c r="F561" s="1">
        <v>0.0</v>
      </c>
      <c r="G561" s="1">
        <v>26.0</v>
      </c>
      <c r="H561" s="1">
        <v>6.0</v>
      </c>
    </row>
    <row r="562">
      <c r="D562" s="2">
        <v>45543.0</v>
      </c>
      <c r="E562" s="1">
        <v>20.0</v>
      </c>
      <c r="F562" s="1">
        <v>0.0</v>
      </c>
      <c r="G562" s="1">
        <v>18.0</v>
      </c>
      <c r="H562" s="1">
        <v>2.0</v>
      </c>
    </row>
    <row r="563">
      <c r="D563" s="2">
        <v>45542.0</v>
      </c>
      <c r="E563" s="1">
        <v>9.0</v>
      </c>
      <c r="F563" s="1">
        <v>0.0</v>
      </c>
      <c r="G563" s="1">
        <v>9.0</v>
      </c>
      <c r="H563" s="1">
        <v>0.0</v>
      </c>
    </row>
    <row r="564">
      <c r="D564" s="2">
        <v>45541.0</v>
      </c>
      <c r="E564" s="1">
        <v>20.0</v>
      </c>
      <c r="F564" s="1">
        <v>0.0</v>
      </c>
      <c r="G564" s="1">
        <v>19.0</v>
      </c>
      <c r="H564" s="1">
        <v>1.0</v>
      </c>
    </row>
    <row r="565">
      <c r="D565" s="2">
        <v>45540.0</v>
      </c>
      <c r="E565" s="1">
        <v>9.0</v>
      </c>
      <c r="F565" s="1">
        <v>0.0</v>
      </c>
      <c r="G565" s="1">
        <v>8.0</v>
      </c>
      <c r="H565" s="1">
        <v>1.0</v>
      </c>
    </row>
    <row r="566">
      <c r="D566" s="2">
        <v>45539.0</v>
      </c>
      <c r="E566" s="1">
        <v>8.0</v>
      </c>
      <c r="F566" s="1">
        <v>0.0</v>
      </c>
      <c r="G566" s="1">
        <v>7.0</v>
      </c>
      <c r="H566" s="1">
        <v>1.0</v>
      </c>
    </row>
    <row r="567">
      <c r="D567" s="2">
        <v>45538.0</v>
      </c>
      <c r="E567" s="1">
        <v>26.0</v>
      </c>
      <c r="F567" s="1">
        <v>0.0</v>
      </c>
      <c r="G567" s="1">
        <v>22.0</v>
      </c>
      <c r="H567" s="1">
        <v>4.0</v>
      </c>
    </row>
    <row r="568">
      <c r="D568" s="2">
        <v>45537.0</v>
      </c>
      <c r="E568" s="1">
        <v>41.0</v>
      </c>
      <c r="F568" s="1">
        <v>1.0</v>
      </c>
      <c r="G568" s="1">
        <v>34.0</v>
      </c>
      <c r="H568" s="1">
        <v>6.0</v>
      </c>
    </row>
    <row r="569">
      <c r="D569" s="2">
        <v>45536.0</v>
      </c>
      <c r="E569" s="1">
        <v>38.0</v>
      </c>
      <c r="F569" s="1">
        <v>0.0</v>
      </c>
      <c r="G569" s="1">
        <v>33.0</v>
      </c>
      <c r="H569" s="1">
        <v>5.0</v>
      </c>
    </row>
    <row r="570">
      <c r="D570" s="2">
        <v>45535.0</v>
      </c>
      <c r="E570" s="1">
        <v>16.0</v>
      </c>
      <c r="F570" s="1">
        <v>0.0</v>
      </c>
      <c r="G570" s="1">
        <v>14.0</v>
      </c>
      <c r="H570" s="1">
        <v>2.0</v>
      </c>
    </row>
    <row r="571">
      <c r="D571" s="2">
        <v>45534.0</v>
      </c>
      <c r="E571" s="1">
        <v>17.0</v>
      </c>
      <c r="F571" s="1">
        <v>0.0</v>
      </c>
      <c r="G571" s="1">
        <v>14.0</v>
      </c>
      <c r="H571" s="1">
        <v>3.0</v>
      </c>
    </row>
    <row r="572">
      <c r="D572" s="2">
        <v>45533.0</v>
      </c>
      <c r="E572" s="1">
        <v>23.0</v>
      </c>
      <c r="F572" s="1">
        <v>0.0</v>
      </c>
      <c r="G572" s="1">
        <v>20.0</v>
      </c>
      <c r="H572" s="1">
        <v>3.0</v>
      </c>
    </row>
    <row r="573">
      <c r="D573" s="2">
        <v>45532.0</v>
      </c>
      <c r="E573" s="1">
        <v>27.0</v>
      </c>
      <c r="F573" s="1">
        <v>0.0</v>
      </c>
      <c r="G573" s="1">
        <v>25.0</v>
      </c>
      <c r="H573" s="1">
        <v>2.0</v>
      </c>
    </row>
    <row r="574">
      <c r="D574" s="2">
        <v>45531.0</v>
      </c>
      <c r="E574" s="1">
        <v>19.0</v>
      </c>
      <c r="F574" s="1">
        <v>0.0</v>
      </c>
      <c r="G574" s="1">
        <v>18.0</v>
      </c>
      <c r="H574" s="1">
        <v>1.0</v>
      </c>
    </row>
    <row r="575">
      <c r="D575" s="2">
        <v>45530.0</v>
      </c>
      <c r="E575" s="1">
        <v>29.0</v>
      </c>
      <c r="F575" s="1">
        <v>1.0</v>
      </c>
      <c r="G575" s="1">
        <v>19.0</v>
      </c>
      <c r="H575" s="1">
        <v>9.0</v>
      </c>
    </row>
    <row r="576">
      <c r="D576" s="2">
        <v>45529.0</v>
      </c>
      <c r="E576" s="1">
        <v>13.0</v>
      </c>
      <c r="F576" s="1">
        <v>0.0</v>
      </c>
      <c r="G576" s="1">
        <v>12.0</v>
      </c>
      <c r="H576" s="1">
        <v>1.0</v>
      </c>
    </row>
    <row r="577">
      <c r="D577" s="2">
        <v>45528.0</v>
      </c>
      <c r="E577" s="1">
        <v>11.0</v>
      </c>
      <c r="F577" s="1">
        <v>0.0</v>
      </c>
      <c r="G577" s="1">
        <v>8.0</v>
      </c>
      <c r="H577" s="1">
        <v>3.0</v>
      </c>
    </row>
    <row r="578">
      <c r="D578" s="2">
        <v>45527.0</v>
      </c>
      <c r="E578" s="1">
        <v>7.0</v>
      </c>
      <c r="F578" s="1">
        <v>0.0</v>
      </c>
      <c r="G578" s="1">
        <v>7.0</v>
      </c>
      <c r="H578" s="1">
        <v>0.0</v>
      </c>
    </row>
    <row r="579">
      <c r="D579" s="2">
        <v>45526.0</v>
      </c>
      <c r="E579" s="1">
        <v>6.0</v>
      </c>
      <c r="F579" s="1">
        <v>0.0</v>
      </c>
      <c r="G579" s="1">
        <v>4.0</v>
      </c>
      <c r="H579" s="1">
        <v>2.0</v>
      </c>
    </row>
    <row r="580">
      <c r="D580" s="2">
        <v>45525.0</v>
      </c>
      <c r="E580" s="1">
        <v>11.0</v>
      </c>
      <c r="F580" s="1">
        <v>0.0</v>
      </c>
      <c r="G580" s="1">
        <v>10.0</v>
      </c>
      <c r="H580" s="1">
        <v>1.0</v>
      </c>
    </row>
    <row r="581">
      <c r="D581" s="2">
        <v>45524.0</v>
      </c>
      <c r="E581" s="1">
        <v>7.0</v>
      </c>
      <c r="F581" s="1">
        <v>0.0</v>
      </c>
      <c r="G581" s="1">
        <v>7.0</v>
      </c>
      <c r="H581" s="1">
        <v>0.0</v>
      </c>
    </row>
    <row r="582">
      <c r="D582" s="2">
        <v>45523.0</v>
      </c>
      <c r="E582" s="1">
        <v>11.0</v>
      </c>
      <c r="F582" s="1">
        <v>0.0</v>
      </c>
      <c r="G582" s="1">
        <v>10.0</v>
      </c>
      <c r="H582" s="1">
        <v>1.0</v>
      </c>
    </row>
    <row r="583">
      <c r="D583" s="2">
        <v>45522.0</v>
      </c>
      <c r="E583" s="1">
        <v>5.0</v>
      </c>
      <c r="F583" s="1">
        <v>0.0</v>
      </c>
      <c r="G583" s="1">
        <v>5.0</v>
      </c>
      <c r="H583" s="1">
        <v>0.0</v>
      </c>
    </row>
    <row r="584">
      <c r="D584" s="2">
        <v>45521.0</v>
      </c>
      <c r="E584" s="1">
        <v>3.0</v>
      </c>
      <c r="F584" s="1">
        <v>0.0</v>
      </c>
      <c r="G584" s="1">
        <v>3.0</v>
      </c>
      <c r="H584" s="1">
        <v>0.0</v>
      </c>
    </row>
    <row r="585">
      <c r="D585" s="2">
        <v>45520.0</v>
      </c>
      <c r="E585" s="1">
        <v>8.0</v>
      </c>
      <c r="F585" s="1">
        <v>0.0</v>
      </c>
      <c r="G585" s="1">
        <v>5.0</v>
      </c>
      <c r="H585" s="1">
        <v>3.0</v>
      </c>
    </row>
    <row r="586">
      <c r="D586" s="2">
        <v>45519.0</v>
      </c>
      <c r="E586" s="1">
        <v>12.0</v>
      </c>
      <c r="F586" s="1">
        <v>0.0</v>
      </c>
      <c r="G586" s="1">
        <v>9.0</v>
      </c>
      <c r="H586" s="1">
        <v>3.0</v>
      </c>
    </row>
    <row r="587">
      <c r="D587" s="2">
        <v>45518.0</v>
      </c>
      <c r="E587" s="1">
        <v>5.0</v>
      </c>
      <c r="F587" s="1">
        <v>0.0</v>
      </c>
      <c r="G587" s="1">
        <v>3.0</v>
      </c>
      <c r="H587" s="1">
        <v>2.0</v>
      </c>
    </row>
    <row r="588">
      <c r="D588" s="2">
        <v>45517.0</v>
      </c>
      <c r="E588" s="1">
        <v>2.0</v>
      </c>
      <c r="F588" s="1">
        <v>0.0</v>
      </c>
      <c r="G588" s="1">
        <v>2.0</v>
      </c>
      <c r="H588" s="1">
        <v>0.0</v>
      </c>
    </row>
    <row r="589">
      <c r="D589" s="2">
        <v>45516.0</v>
      </c>
      <c r="E589" s="1">
        <v>4.0</v>
      </c>
      <c r="F589" s="1">
        <v>0.0</v>
      </c>
      <c r="G589" s="1">
        <v>2.0</v>
      </c>
      <c r="H589" s="1">
        <v>2.0</v>
      </c>
    </row>
    <row r="590">
      <c r="D590" s="2">
        <v>45515.0</v>
      </c>
      <c r="E590" s="1">
        <v>5.0</v>
      </c>
      <c r="F590" s="1">
        <v>0.0</v>
      </c>
      <c r="G590" s="1">
        <v>4.0</v>
      </c>
      <c r="H590" s="1">
        <v>1.0</v>
      </c>
    </row>
    <row r="591">
      <c r="D591" s="2">
        <v>45514.0</v>
      </c>
      <c r="E591" s="1">
        <v>1.0</v>
      </c>
      <c r="F591" s="1">
        <v>0.0</v>
      </c>
      <c r="G591" s="1">
        <v>0.0</v>
      </c>
      <c r="H591" s="1">
        <v>1.0</v>
      </c>
    </row>
    <row r="592">
      <c r="D592" s="2">
        <v>45513.0</v>
      </c>
      <c r="E592" s="1">
        <v>6.0</v>
      </c>
      <c r="F592" s="1">
        <v>0.0</v>
      </c>
      <c r="G592" s="1">
        <v>4.0</v>
      </c>
      <c r="H592" s="1">
        <v>2.0</v>
      </c>
    </row>
    <row r="593">
      <c r="D593" s="2">
        <v>45512.0</v>
      </c>
      <c r="E593" s="1">
        <v>3.0</v>
      </c>
      <c r="F593" s="1">
        <v>0.0</v>
      </c>
      <c r="G593" s="1">
        <v>3.0</v>
      </c>
      <c r="H593" s="1">
        <v>0.0</v>
      </c>
    </row>
    <row r="594">
      <c r="D594" s="2">
        <v>45511.0</v>
      </c>
      <c r="E594" s="1">
        <v>1.0</v>
      </c>
      <c r="F594" s="1">
        <v>0.0</v>
      </c>
      <c r="G594" s="1">
        <v>1.0</v>
      </c>
      <c r="H594" s="1">
        <v>0.0</v>
      </c>
    </row>
    <row r="595">
      <c r="D595" s="2">
        <v>45508.0</v>
      </c>
      <c r="E595" s="1">
        <v>1.0</v>
      </c>
      <c r="F595" s="1">
        <v>1.0</v>
      </c>
      <c r="G595" s="1">
        <v>0.0</v>
      </c>
      <c r="H595" s="1">
        <v>0.0</v>
      </c>
    </row>
    <row r="596">
      <c r="D596" s="2">
        <v>45507.0</v>
      </c>
      <c r="E596" s="1">
        <v>2.0</v>
      </c>
      <c r="F596" s="1">
        <v>0.0</v>
      </c>
      <c r="G596" s="1">
        <v>1.0</v>
      </c>
      <c r="H596" s="1">
        <v>1.0</v>
      </c>
    </row>
    <row r="597">
      <c r="D597" s="2">
        <v>45506.0</v>
      </c>
      <c r="E597" s="1">
        <v>1.0</v>
      </c>
      <c r="F597" s="1">
        <v>0.0</v>
      </c>
      <c r="G597" s="1">
        <v>1.0</v>
      </c>
      <c r="H597" s="1">
        <v>0.0</v>
      </c>
    </row>
    <row r="598">
      <c r="D598" s="2">
        <v>45504.0</v>
      </c>
      <c r="E598" s="1">
        <v>1.0</v>
      </c>
      <c r="F598" s="1">
        <v>1.0</v>
      </c>
      <c r="G598" s="1">
        <v>0.0</v>
      </c>
      <c r="H598" s="1">
        <v>0.0</v>
      </c>
    </row>
    <row r="599">
      <c r="D599" s="2">
        <v>45503.0</v>
      </c>
      <c r="E599" s="1">
        <v>1.0</v>
      </c>
      <c r="F599" s="1">
        <v>1.0</v>
      </c>
      <c r="G599" s="1">
        <v>0.0</v>
      </c>
      <c r="H599" s="1">
        <v>0.0</v>
      </c>
    </row>
    <row r="600">
      <c r="D600" s="2">
        <v>45502.0</v>
      </c>
      <c r="E600" s="1">
        <v>1.0</v>
      </c>
      <c r="F600" s="1">
        <v>1.0</v>
      </c>
      <c r="G600" s="1">
        <v>0.0</v>
      </c>
      <c r="H600" s="1">
        <v>0.0</v>
      </c>
    </row>
    <row r="601">
      <c r="D601" s="2">
        <v>45500.0</v>
      </c>
      <c r="E601" s="1">
        <v>2.0</v>
      </c>
      <c r="F601" s="1">
        <v>1.0</v>
      </c>
      <c r="G601" s="1">
        <v>1.0</v>
      </c>
      <c r="H601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88"/>
  </cols>
  <sheetData>
    <row r="1">
      <c r="A1" s="5" t="s">
        <v>44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</row>
    <row r="2">
      <c r="A2" s="2">
        <v>46082.0</v>
      </c>
      <c r="B2" s="1">
        <v>267.0</v>
      </c>
      <c r="C2" s="1">
        <v>227.0</v>
      </c>
      <c r="D2" s="1">
        <v>40.0</v>
      </c>
      <c r="E2" s="1">
        <v>1489700.0</v>
      </c>
      <c r="F2" s="1">
        <v>139500.0</v>
      </c>
      <c r="G2" s="1">
        <v>1629200.0</v>
      </c>
    </row>
    <row r="3">
      <c r="A3" s="2">
        <v>46054.0</v>
      </c>
      <c r="B3" s="1">
        <v>272.0</v>
      </c>
      <c r="C3" s="1">
        <v>237.0</v>
      </c>
      <c r="D3" s="1">
        <v>35.0</v>
      </c>
      <c r="E3" s="1">
        <v>2211400.0</v>
      </c>
      <c r="F3" s="1">
        <v>222800.0</v>
      </c>
      <c r="G3" s="1">
        <v>2434200.0</v>
      </c>
    </row>
    <row r="4">
      <c r="A4" s="2">
        <v>46023.0</v>
      </c>
      <c r="B4" s="1">
        <v>245.0</v>
      </c>
      <c r="C4" s="1">
        <v>208.0</v>
      </c>
      <c r="D4" s="1">
        <v>37.0</v>
      </c>
      <c r="E4" s="1">
        <v>2669400.0</v>
      </c>
      <c r="F4" s="1">
        <v>307500.0</v>
      </c>
      <c r="G4" s="1">
        <v>2976900.0</v>
      </c>
    </row>
    <row r="5">
      <c r="A5" s="2">
        <v>45992.0</v>
      </c>
      <c r="B5" s="1">
        <v>210.0</v>
      </c>
      <c r="C5" s="1">
        <v>182.0</v>
      </c>
      <c r="D5" s="1">
        <v>27.0</v>
      </c>
      <c r="E5" s="1">
        <v>2324400.0</v>
      </c>
      <c r="F5" s="1">
        <v>191000.0</v>
      </c>
      <c r="G5" s="1">
        <v>2515400.0</v>
      </c>
    </row>
    <row r="6">
      <c r="A6" s="2">
        <v>45962.0</v>
      </c>
      <c r="B6" s="1">
        <v>249.0</v>
      </c>
      <c r="C6" s="1">
        <v>204.0</v>
      </c>
      <c r="D6" s="1">
        <v>41.0</v>
      </c>
      <c r="E6" s="1">
        <v>2591400.0</v>
      </c>
      <c r="F6" s="1">
        <v>502900.0</v>
      </c>
      <c r="G6" s="1">
        <v>3094300.0</v>
      </c>
    </row>
    <row r="7">
      <c r="A7" s="2">
        <v>45931.0</v>
      </c>
      <c r="B7" s="1">
        <v>483.0</v>
      </c>
      <c r="C7" s="1">
        <v>436.0</v>
      </c>
      <c r="D7" s="1">
        <v>46.0</v>
      </c>
      <c r="E7" s="1">
        <v>6070800.0</v>
      </c>
      <c r="F7" s="1">
        <v>636300.0</v>
      </c>
      <c r="G7" s="1">
        <v>6707100.0</v>
      </c>
    </row>
    <row r="8">
      <c r="A8" s="2">
        <v>45901.0</v>
      </c>
      <c r="B8" s="1">
        <v>595.0</v>
      </c>
      <c r="C8" s="1">
        <v>524.0</v>
      </c>
      <c r="D8" s="1">
        <v>71.0</v>
      </c>
      <c r="E8" s="1">
        <v>6952200.0</v>
      </c>
      <c r="F8" s="1">
        <v>880700.0</v>
      </c>
      <c r="G8" s="1">
        <v>7832900.0</v>
      </c>
    </row>
    <row r="9">
      <c r="A9" s="2">
        <v>45870.0</v>
      </c>
      <c r="B9" s="1">
        <v>677.0</v>
      </c>
      <c r="C9" s="1">
        <v>578.0</v>
      </c>
      <c r="D9" s="1">
        <v>98.0</v>
      </c>
      <c r="E9" s="1">
        <v>8395100.0</v>
      </c>
      <c r="F9" s="1">
        <v>1384100.0</v>
      </c>
      <c r="G9" s="1">
        <v>9779200.0</v>
      </c>
    </row>
    <row r="10">
      <c r="A10" s="2">
        <v>45839.0</v>
      </c>
      <c r="B10" s="1">
        <v>746.0</v>
      </c>
      <c r="C10" s="1">
        <v>651.0</v>
      </c>
      <c r="D10" s="1">
        <v>94.0</v>
      </c>
      <c r="E10" s="1">
        <v>9845100.0</v>
      </c>
      <c r="F10" s="1">
        <v>1111800.0</v>
      </c>
      <c r="G10" s="1">
        <v>1.09569E7</v>
      </c>
    </row>
    <row r="11">
      <c r="A11" s="2">
        <v>45809.0</v>
      </c>
      <c r="B11" s="1">
        <v>675.0</v>
      </c>
      <c r="C11" s="1">
        <v>591.0</v>
      </c>
      <c r="D11" s="1">
        <v>84.0</v>
      </c>
      <c r="E11" s="1">
        <v>9082100.0</v>
      </c>
      <c r="F11" s="1">
        <v>1401900.0</v>
      </c>
      <c r="G11" s="1">
        <v>1.0484E7</v>
      </c>
    </row>
    <row r="12">
      <c r="A12" s="2">
        <v>45778.0</v>
      </c>
      <c r="B12" s="1">
        <v>902.0</v>
      </c>
      <c r="C12" s="1">
        <v>847.0</v>
      </c>
      <c r="D12" s="1">
        <v>55.0</v>
      </c>
      <c r="E12" s="1">
        <v>1.276705E7</v>
      </c>
      <c r="F12" s="1">
        <v>922800.0</v>
      </c>
      <c r="G12" s="1">
        <v>1.368985E7</v>
      </c>
    </row>
    <row r="13">
      <c r="A13" s="2">
        <v>45748.0</v>
      </c>
      <c r="B13" s="1">
        <v>734.0</v>
      </c>
      <c r="C13" s="1">
        <v>679.0</v>
      </c>
      <c r="D13" s="1">
        <v>54.0</v>
      </c>
      <c r="E13" s="1">
        <v>1.054686E7</v>
      </c>
      <c r="F13" s="1">
        <v>699100.0</v>
      </c>
      <c r="G13" s="1">
        <v>1.126386E7</v>
      </c>
    </row>
    <row r="14">
      <c r="A14" s="2">
        <v>45717.0</v>
      </c>
      <c r="B14" s="1">
        <v>443.0</v>
      </c>
      <c r="C14" s="1">
        <v>410.0</v>
      </c>
      <c r="D14" s="1">
        <v>33.0</v>
      </c>
      <c r="E14" s="1">
        <v>6489800.0</v>
      </c>
      <c r="F14" s="1">
        <v>623700.0</v>
      </c>
      <c r="G14" s="1">
        <v>7113500.0</v>
      </c>
    </row>
    <row r="15">
      <c r="A15" s="2">
        <v>45689.0</v>
      </c>
      <c r="B15" s="1">
        <v>259.0</v>
      </c>
      <c r="C15" s="1">
        <v>239.0</v>
      </c>
      <c r="D15" s="1">
        <v>20.0</v>
      </c>
      <c r="E15" s="1">
        <v>3285700.0</v>
      </c>
      <c r="F15" s="1">
        <v>260200.0</v>
      </c>
      <c r="G15" s="1">
        <v>3545900.0</v>
      </c>
    </row>
    <row r="16">
      <c r="A16" s="2">
        <v>45658.0</v>
      </c>
      <c r="B16" s="1">
        <v>327.0</v>
      </c>
      <c r="C16" s="1">
        <v>292.0</v>
      </c>
      <c r="D16" s="1">
        <v>35.0</v>
      </c>
      <c r="E16" s="1">
        <v>5124300.0</v>
      </c>
      <c r="F16" s="1">
        <v>777700.0</v>
      </c>
      <c r="G16" s="1">
        <v>5902000.0</v>
      </c>
    </row>
    <row r="17">
      <c r="A17" s="2">
        <v>45627.0</v>
      </c>
      <c r="B17" s="1">
        <v>298.0</v>
      </c>
      <c r="C17" s="1">
        <v>274.0</v>
      </c>
      <c r="D17" s="1">
        <v>24.0</v>
      </c>
      <c r="E17" s="1">
        <v>5312700.0</v>
      </c>
      <c r="F17" s="1">
        <v>431200.0</v>
      </c>
      <c r="G17" s="1">
        <v>5743900.0</v>
      </c>
    </row>
    <row r="18">
      <c r="A18" s="2">
        <v>45597.0</v>
      </c>
      <c r="B18" s="1">
        <v>439.0</v>
      </c>
      <c r="C18" s="1">
        <v>409.0</v>
      </c>
      <c r="D18" s="1">
        <v>30.0</v>
      </c>
      <c r="E18" s="1">
        <v>7194520.0</v>
      </c>
      <c r="F18" s="1">
        <v>260100.0</v>
      </c>
      <c r="G18" s="1">
        <v>7454620.0</v>
      </c>
    </row>
    <row r="19">
      <c r="A19" s="2">
        <v>45566.0</v>
      </c>
      <c r="B19" s="1">
        <v>641.0</v>
      </c>
      <c r="C19" s="1">
        <v>589.0</v>
      </c>
      <c r="D19" s="1">
        <v>52.0</v>
      </c>
      <c r="E19" s="1">
        <v>1.06081E7</v>
      </c>
      <c r="F19" s="1">
        <v>918300.0</v>
      </c>
      <c r="G19" s="1">
        <v>1.15264E7</v>
      </c>
    </row>
    <row r="20">
      <c r="A20" s="2">
        <v>45536.0</v>
      </c>
      <c r="B20" s="1">
        <v>689.0</v>
      </c>
      <c r="C20" s="1">
        <v>622.0</v>
      </c>
      <c r="D20" s="1">
        <v>66.0</v>
      </c>
      <c r="E20" s="1">
        <v>1.10947E7</v>
      </c>
      <c r="F20" s="1">
        <v>1211800.0</v>
      </c>
      <c r="G20" s="1">
        <v>1.23065E7</v>
      </c>
    </row>
    <row r="21">
      <c r="A21" s="2">
        <v>45505.0</v>
      </c>
      <c r="B21" s="1">
        <v>256.0</v>
      </c>
      <c r="C21" s="1">
        <v>211.0</v>
      </c>
      <c r="D21" s="1">
        <v>43.0</v>
      </c>
      <c r="E21" s="1">
        <v>3428850.0</v>
      </c>
      <c r="F21" s="1">
        <v>310200.0</v>
      </c>
      <c r="G21" s="1">
        <v>3757050.0</v>
      </c>
    </row>
    <row r="22">
      <c r="A22" s="2">
        <v>45474.0</v>
      </c>
      <c r="B22" s="1">
        <v>5.0</v>
      </c>
      <c r="C22" s="1">
        <v>1.0</v>
      </c>
      <c r="D22" s="1">
        <v>0.0</v>
      </c>
      <c r="E22" s="1">
        <v>14000.0</v>
      </c>
      <c r="F22" s="1">
        <v>0.0</v>
      </c>
      <c r="G22" s="1">
        <v>26700.0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  <c r="C1" s="1" t="s">
        <v>59</v>
      </c>
    </row>
    <row r="2">
      <c r="A2" s="1" t="s">
        <v>60</v>
      </c>
      <c r="B2" s="1">
        <v>4146.0</v>
      </c>
      <c r="C2" s="12">
        <v>0.45</v>
      </c>
    </row>
    <row r="3">
      <c r="A3" s="1" t="s">
        <v>61</v>
      </c>
      <c r="B3" s="1">
        <v>2418.0</v>
      </c>
      <c r="C3" s="12">
        <v>0.28</v>
      </c>
    </row>
    <row r="4">
      <c r="A4" s="1" t="s">
        <v>62</v>
      </c>
      <c r="B4" s="1">
        <v>2151.0</v>
      </c>
      <c r="C4" s="12">
        <v>0.26</v>
      </c>
    </row>
    <row r="5">
      <c r="A5" s="1" t="s">
        <v>63</v>
      </c>
      <c r="B5" s="1">
        <v>22.0</v>
      </c>
      <c r="C5" s="13">
        <v>0.002</v>
      </c>
    </row>
    <row r="6">
      <c r="A6" s="1" t="s">
        <v>64</v>
      </c>
      <c r="B6" s="1">
        <v>18.0</v>
      </c>
      <c r="C6" s="13">
        <v>0.002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5.88"/>
  </cols>
  <sheetData>
    <row r="1">
      <c r="A1" s="1" t="s">
        <v>5</v>
      </c>
      <c r="B1" s="1" t="s">
        <v>65</v>
      </c>
      <c r="C1" s="1" t="s">
        <v>66</v>
      </c>
    </row>
    <row r="2">
      <c r="A2" s="14" t="s">
        <v>67</v>
      </c>
      <c r="B2" s="1">
        <v>1236.0</v>
      </c>
      <c r="C2" s="1">
        <v>9831.0</v>
      </c>
    </row>
    <row r="3">
      <c r="A3" s="1">
        <v>2026.0</v>
      </c>
      <c r="B3" s="1">
        <v>2.0</v>
      </c>
      <c r="C3" s="1">
        <v>11.0</v>
      </c>
    </row>
    <row r="4">
      <c r="A4" s="1">
        <v>2024.0</v>
      </c>
      <c r="B4" s="1">
        <v>732.0</v>
      </c>
      <c r="C4" s="1">
        <v>5323.0</v>
      </c>
    </row>
    <row r="5">
      <c r="A5" s="1">
        <v>2023.0</v>
      </c>
      <c r="B5" s="1">
        <v>752.0</v>
      </c>
      <c r="C5" s="1">
        <v>5424.0</v>
      </c>
    </row>
    <row r="6">
      <c r="A6" s="1">
        <v>2022.0</v>
      </c>
      <c r="B6" s="1">
        <v>654.0</v>
      </c>
      <c r="C6" s="1">
        <v>5046.0</v>
      </c>
    </row>
    <row r="7">
      <c r="A7" s="1">
        <v>2021.0</v>
      </c>
      <c r="B7" s="1">
        <v>366.0</v>
      </c>
      <c r="C7" s="1">
        <v>4171.0</v>
      </c>
    </row>
    <row r="8">
      <c r="A8" s="1">
        <v>2020.0</v>
      </c>
      <c r="B8" s="1">
        <v>1179.0</v>
      </c>
      <c r="C8" s="1">
        <v>9177.0</v>
      </c>
    </row>
    <row r="9">
      <c r="A9" s="1">
        <v>2018.0</v>
      </c>
      <c r="B9" s="1">
        <v>1089.0</v>
      </c>
      <c r="C9" s="1">
        <v>8586.0</v>
      </c>
    </row>
    <row r="10">
      <c r="A10" s="1">
        <v>2016.0</v>
      </c>
      <c r="B10" s="1">
        <v>987.0</v>
      </c>
      <c r="C10" s="1">
        <v>7260.0</v>
      </c>
    </row>
    <row r="11">
      <c r="A11" s="1">
        <v>2014.0</v>
      </c>
      <c r="B11" s="1">
        <v>846.0</v>
      </c>
      <c r="C11" s="1">
        <v>6159.0</v>
      </c>
    </row>
    <row r="12">
      <c r="A12" s="1">
        <v>2011.0</v>
      </c>
      <c r="B12" s="1">
        <v>709.0</v>
      </c>
      <c r="C12" s="1">
        <v>4954.0</v>
      </c>
    </row>
    <row r="13">
      <c r="A13" s="1">
        <v>2007.0</v>
      </c>
      <c r="B13" s="1">
        <v>602.0</v>
      </c>
      <c r="C13" s="1">
        <v>4068.0</v>
      </c>
    </row>
    <row r="14">
      <c r="A14" s="1">
        <v>2005.0</v>
      </c>
      <c r="B14" s="1">
        <v>452.0</v>
      </c>
      <c r="C14" s="1">
        <v>2955.0</v>
      </c>
    </row>
    <row r="15">
      <c r="A15" s="1">
        <v>2003.0</v>
      </c>
      <c r="B15" s="1">
        <v>310.0</v>
      </c>
      <c r="C15" s="1">
        <v>1941.0</v>
      </c>
    </row>
    <row r="16">
      <c r="A16" s="1">
        <v>2002.0</v>
      </c>
      <c r="B16" s="1">
        <v>158.0</v>
      </c>
      <c r="C16" s="1">
        <v>980.0</v>
      </c>
    </row>
    <row r="17">
      <c r="A17" s="1">
        <v>2001.0</v>
      </c>
      <c r="B17" s="1">
        <v>98.0</v>
      </c>
      <c r="C17" s="1">
        <v>714.0</v>
      </c>
    </row>
    <row r="18">
      <c r="A18" s="1">
        <v>1999.0</v>
      </c>
      <c r="B18" s="1">
        <v>43.0</v>
      </c>
      <c r="C18" s="1">
        <v>281.0</v>
      </c>
    </row>
    <row r="19">
      <c r="A19" s="1">
        <v>1996.0</v>
      </c>
      <c r="B19" s="1">
        <v>5.0</v>
      </c>
      <c r="C19" s="1">
        <v>30.0</v>
      </c>
    </row>
    <row r="20">
      <c r="A20" s="1">
        <v>1994.0</v>
      </c>
      <c r="B20" s="1">
        <v>14.0</v>
      </c>
      <c r="C20" s="1">
        <v>143.0</v>
      </c>
    </row>
    <row r="21">
      <c r="A21" s="1">
        <v>1992.0</v>
      </c>
      <c r="B21" s="1">
        <v>3.0</v>
      </c>
      <c r="C21" s="1">
        <v>11.0</v>
      </c>
    </row>
    <row r="22">
      <c r="A22" s="1">
        <v>1990.0</v>
      </c>
      <c r="B22" s="1">
        <v>24.0</v>
      </c>
      <c r="C22" s="1">
        <v>259.0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2.88"/>
    <col customWidth="1" min="3" max="3" width="15.25"/>
  </cols>
  <sheetData>
    <row r="1">
      <c r="A1" s="5" t="s">
        <v>68</v>
      </c>
      <c r="B1" s="5" t="s">
        <v>69</v>
      </c>
      <c r="C1" s="5" t="s">
        <v>70</v>
      </c>
    </row>
    <row r="2">
      <c r="A2" s="1" t="s">
        <v>22</v>
      </c>
      <c r="B2" s="1">
        <v>13415.0</v>
      </c>
      <c r="C2" s="1">
        <v>1.3491133E8</v>
      </c>
    </row>
    <row r="3">
      <c r="A3" s="1" t="s">
        <v>71</v>
      </c>
      <c r="B3" s="1">
        <v>509.0</v>
      </c>
      <c r="C3" s="1">
        <v>4483000.0</v>
      </c>
    </row>
    <row r="4">
      <c r="A4" s="1" t="s">
        <v>72</v>
      </c>
      <c r="B4" s="1">
        <v>309.0</v>
      </c>
      <c r="C4" s="1">
        <v>927000.0</v>
      </c>
    </row>
    <row r="5">
      <c r="A5" s="1" t="s">
        <v>73</v>
      </c>
      <c r="B5" s="1">
        <v>25.0</v>
      </c>
      <c r="C5" s="1">
        <v>308000.0</v>
      </c>
    </row>
    <row r="6">
      <c r="A6" s="1" t="s">
        <v>74</v>
      </c>
      <c r="B6" s="1">
        <v>16.0</v>
      </c>
      <c r="C6" s="1">
        <v>111050.0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8</v>
      </c>
      <c r="C1" s="5" t="s">
        <v>75</v>
      </c>
      <c r="D1" s="5" t="s">
        <v>11</v>
      </c>
      <c r="E1" s="5" t="s">
        <v>76</v>
      </c>
      <c r="F1" s="5" t="s">
        <v>12</v>
      </c>
      <c r="G1" s="5" t="s">
        <v>77</v>
      </c>
    </row>
    <row r="2">
      <c r="A2" s="2">
        <v>45512.0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</row>
    <row r="3">
      <c r="A3" s="2">
        <v>45520.0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</row>
    <row r="4">
      <c r="A4" s="2">
        <v>45523.0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2">
        <v>45525.0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</row>
    <row r="6">
      <c r="A6" s="2">
        <v>45527.0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</row>
    <row r="7">
      <c r="A7" s="2">
        <v>45530.0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</row>
    <row r="8">
      <c r="A8" s="2">
        <v>45531.0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</row>
    <row r="9">
      <c r="A9" s="2">
        <v>45532.0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</row>
    <row r="10">
      <c r="A10" s="2">
        <v>45533.0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</row>
    <row r="11">
      <c r="A11" s="2">
        <v>45534.0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</row>
    <row r="12">
      <c r="A12" s="2">
        <v>45536.0</v>
      </c>
      <c r="B12" s="1">
        <v>17100.0</v>
      </c>
      <c r="C12" s="1">
        <v>0.0</v>
      </c>
      <c r="D12" s="1">
        <v>0.0</v>
      </c>
      <c r="E12" s="1">
        <v>0.0</v>
      </c>
      <c r="F12" s="1">
        <v>0.0</v>
      </c>
      <c r="G12" s="1">
        <v>17100.0</v>
      </c>
    </row>
    <row r="13">
      <c r="A13" s="2">
        <v>45537.0</v>
      </c>
      <c r="B13" s="1">
        <v>78500.0</v>
      </c>
      <c r="C13" s="1">
        <v>0.0</v>
      </c>
      <c r="D13" s="1">
        <v>0.0</v>
      </c>
      <c r="E13" s="1">
        <v>0.0</v>
      </c>
      <c r="F13" s="1">
        <v>0.0</v>
      </c>
      <c r="G13" s="1">
        <v>78500.0</v>
      </c>
    </row>
    <row r="14">
      <c r="A14" s="2">
        <v>45538.0</v>
      </c>
      <c r="B14" s="1">
        <v>154900.0</v>
      </c>
      <c r="C14" s="1">
        <v>0.0</v>
      </c>
      <c r="D14" s="1">
        <v>0.0</v>
      </c>
      <c r="E14" s="1">
        <v>0.0</v>
      </c>
      <c r="F14" s="1">
        <v>0.0</v>
      </c>
      <c r="G14" s="1">
        <v>154900.0</v>
      </c>
    </row>
    <row r="15">
      <c r="A15" s="2">
        <v>45539.0</v>
      </c>
      <c r="B15" s="1">
        <v>81600.0</v>
      </c>
      <c r="C15" s="1">
        <v>0.0</v>
      </c>
      <c r="D15" s="1">
        <v>0.0</v>
      </c>
      <c r="E15" s="1">
        <v>0.0</v>
      </c>
      <c r="F15" s="1">
        <v>0.0</v>
      </c>
      <c r="G15" s="1">
        <v>81600.0</v>
      </c>
    </row>
    <row r="16">
      <c r="A16" s="2">
        <v>45540.0</v>
      </c>
      <c r="B16" s="1">
        <v>90600.0</v>
      </c>
      <c r="C16" s="1">
        <v>0.0</v>
      </c>
      <c r="D16" s="1">
        <v>0.0</v>
      </c>
      <c r="E16" s="1">
        <v>0.0</v>
      </c>
      <c r="F16" s="1">
        <v>0.0</v>
      </c>
      <c r="G16" s="1">
        <v>90600.0</v>
      </c>
    </row>
    <row r="17">
      <c r="A17" s="2">
        <v>45541.0</v>
      </c>
      <c r="B17" s="1">
        <v>116500.0</v>
      </c>
      <c r="C17" s="1">
        <v>0.0</v>
      </c>
      <c r="D17" s="1">
        <v>0.0</v>
      </c>
      <c r="E17" s="1">
        <v>0.0</v>
      </c>
      <c r="F17" s="1">
        <v>0.0</v>
      </c>
      <c r="G17" s="1">
        <v>116500.0</v>
      </c>
    </row>
    <row r="18">
      <c r="A18" s="2">
        <v>45542.0</v>
      </c>
      <c r="B18" s="1">
        <v>181600.0</v>
      </c>
      <c r="C18" s="1">
        <v>0.0</v>
      </c>
      <c r="D18" s="1">
        <v>0.0</v>
      </c>
      <c r="E18" s="1">
        <v>0.0</v>
      </c>
      <c r="F18" s="1">
        <v>0.0</v>
      </c>
      <c r="G18" s="1">
        <v>181600.0</v>
      </c>
    </row>
    <row r="19">
      <c r="A19" s="2">
        <v>45543.0</v>
      </c>
      <c r="B19" s="1">
        <v>142300.0</v>
      </c>
      <c r="C19" s="1">
        <v>0.0</v>
      </c>
      <c r="D19" s="1">
        <v>0.0</v>
      </c>
      <c r="E19" s="1">
        <v>0.0</v>
      </c>
      <c r="F19" s="1">
        <v>0.0</v>
      </c>
      <c r="G19" s="1">
        <v>142300.0</v>
      </c>
    </row>
    <row r="20">
      <c r="A20" s="2">
        <v>45544.0</v>
      </c>
      <c r="B20" s="1">
        <v>152900.0</v>
      </c>
      <c r="C20" s="1">
        <v>0.0</v>
      </c>
      <c r="D20" s="1">
        <v>0.0</v>
      </c>
      <c r="E20" s="1">
        <v>0.0</v>
      </c>
      <c r="F20" s="1">
        <v>0.0</v>
      </c>
      <c r="G20" s="1">
        <v>152900.0</v>
      </c>
    </row>
    <row r="21">
      <c r="A21" s="2">
        <v>45545.0</v>
      </c>
      <c r="B21" s="1">
        <v>185100.0</v>
      </c>
      <c r="C21" s="1">
        <v>0.0</v>
      </c>
      <c r="D21" s="1">
        <v>0.0</v>
      </c>
      <c r="E21" s="1">
        <v>0.0</v>
      </c>
      <c r="F21" s="1">
        <v>0.0</v>
      </c>
      <c r="G21" s="1">
        <v>185100.0</v>
      </c>
    </row>
    <row r="22">
      <c r="A22" s="2">
        <v>45546.0</v>
      </c>
      <c r="B22" s="1">
        <v>162600.0</v>
      </c>
      <c r="C22" s="1">
        <v>0.0</v>
      </c>
      <c r="D22" s="1">
        <v>0.0</v>
      </c>
      <c r="E22" s="1">
        <v>0.0</v>
      </c>
      <c r="F22" s="1">
        <v>0.0</v>
      </c>
      <c r="G22" s="1">
        <v>162600.0</v>
      </c>
    </row>
    <row r="23">
      <c r="A23" s="2">
        <v>45547.0</v>
      </c>
      <c r="B23" s="1">
        <v>250900.0</v>
      </c>
      <c r="C23" s="1">
        <v>0.0</v>
      </c>
      <c r="D23" s="1">
        <v>0.0</v>
      </c>
      <c r="E23" s="1">
        <v>0.0</v>
      </c>
      <c r="F23" s="1">
        <v>0.0</v>
      </c>
      <c r="G23" s="1">
        <v>250900.0</v>
      </c>
    </row>
    <row r="24">
      <c r="A24" s="2">
        <v>45548.0</v>
      </c>
      <c r="B24" s="1">
        <v>138400.0</v>
      </c>
      <c r="C24" s="1">
        <v>0.0</v>
      </c>
      <c r="D24" s="1">
        <v>0.0</v>
      </c>
      <c r="E24" s="1">
        <v>0.0</v>
      </c>
      <c r="F24" s="1">
        <v>0.0</v>
      </c>
      <c r="G24" s="1">
        <v>138400.0</v>
      </c>
    </row>
    <row r="25">
      <c r="A25" s="2">
        <v>45549.0</v>
      </c>
      <c r="B25" s="1">
        <v>232300.0</v>
      </c>
      <c r="C25" s="1">
        <v>0.0</v>
      </c>
      <c r="D25" s="1">
        <v>0.0</v>
      </c>
      <c r="E25" s="1">
        <v>0.0</v>
      </c>
      <c r="F25" s="1">
        <v>0.0</v>
      </c>
      <c r="G25" s="1">
        <v>232300.0</v>
      </c>
    </row>
    <row r="26">
      <c r="A26" s="2">
        <v>45550.0</v>
      </c>
      <c r="B26" s="1">
        <v>165800.0</v>
      </c>
      <c r="C26" s="1">
        <v>0.0</v>
      </c>
      <c r="D26" s="1">
        <v>0.0</v>
      </c>
      <c r="E26" s="1">
        <v>0.0</v>
      </c>
      <c r="F26" s="1">
        <v>0.0</v>
      </c>
      <c r="G26" s="1">
        <v>165800.0</v>
      </c>
    </row>
    <row r="27">
      <c r="A27" s="2">
        <v>45551.0</v>
      </c>
      <c r="B27" s="1">
        <v>218600.0</v>
      </c>
      <c r="C27" s="1">
        <v>0.0</v>
      </c>
      <c r="D27" s="1">
        <v>0.0</v>
      </c>
      <c r="E27" s="1">
        <v>0.0</v>
      </c>
      <c r="F27" s="1">
        <v>0.0</v>
      </c>
      <c r="G27" s="1">
        <v>218600.0</v>
      </c>
    </row>
    <row r="28">
      <c r="A28" s="2">
        <v>45552.0</v>
      </c>
      <c r="B28" s="1">
        <v>139900.0</v>
      </c>
      <c r="C28" s="1">
        <v>0.0</v>
      </c>
      <c r="D28" s="1">
        <v>0.0</v>
      </c>
      <c r="E28" s="1">
        <v>0.0</v>
      </c>
      <c r="F28" s="1">
        <v>0.0</v>
      </c>
      <c r="G28" s="1">
        <v>139900.0</v>
      </c>
    </row>
    <row r="29">
      <c r="A29" s="2">
        <v>45553.0</v>
      </c>
      <c r="B29" s="1">
        <v>220500.0</v>
      </c>
      <c r="C29" s="1">
        <v>0.0</v>
      </c>
      <c r="D29" s="1">
        <v>0.0</v>
      </c>
      <c r="E29" s="1">
        <v>0.0</v>
      </c>
      <c r="F29" s="1">
        <v>0.0</v>
      </c>
      <c r="G29" s="1">
        <v>220500.0</v>
      </c>
    </row>
    <row r="30">
      <c r="A30" s="2">
        <v>45554.0</v>
      </c>
      <c r="B30" s="1">
        <v>224000.0</v>
      </c>
      <c r="C30" s="1">
        <v>0.0</v>
      </c>
      <c r="D30" s="1">
        <v>0.0</v>
      </c>
      <c r="E30" s="1">
        <v>0.0</v>
      </c>
      <c r="F30" s="1">
        <v>0.0</v>
      </c>
      <c r="G30" s="1">
        <v>224000.0</v>
      </c>
    </row>
    <row r="31">
      <c r="A31" s="2">
        <v>45555.0</v>
      </c>
      <c r="B31" s="1">
        <v>162900.0</v>
      </c>
      <c r="C31" s="1">
        <v>0.0</v>
      </c>
      <c r="D31" s="1">
        <v>0.0</v>
      </c>
      <c r="E31" s="1">
        <v>0.0</v>
      </c>
      <c r="F31" s="1">
        <v>0.0</v>
      </c>
      <c r="G31" s="1">
        <v>162900.0</v>
      </c>
    </row>
    <row r="32">
      <c r="A32" s="2">
        <v>45556.0</v>
      </c>
      <c r="B32" s="1">
        <v>280200.0</v>
      </c>
      <c r="C32" s="1">
        <v>0.0</v>
      </c>
      <c r="D32" s="1">
        <v>0.0</v>
      </c>
      <c r="E32" s="1">
        <v>0.0</v>
      </c>
      <c r="F32" s="1">
        <v>0.0</v>
      </c>
      <c r="G32" s="1">
        <v>280200.0</v>
      </c>
    </row>
    <row r="33">
      <c r="A33" s="2">
        <v>45557.0</v>
      </c>
      <c r="B33" s="1">
        <v>265200.0</v>
      </c>
      <c r="C33" s="1">
        <v>0.0</v>
      </c>
      <c r="D33" s="1">
        <v>0.0</v>
      </c>
      <c r="E33" s="1">
        <v>0.0</v>
      </c>
      <c r="F33" s="1">
        <v>0.0</v>
      </c>
      <c r="G33" s="1">
        <v>265200.0</v>
      </c>
    </row>
    <row r="34">
      <c r="A34" s="2">
        <v>45558.0</v>
      </c>
      <c r="B34" s="1">
        <v>169900.0</v>
      </c>
      <c r="C34" s="1">
        <v>0.0</v>
      </c>
      <c r="D34" s="1">
        <v>0.0</v>
      </c>
      <c r="E34" s="1">
        <v>0.0</v>
      </c>
      <c r="F34" s="1">
        <v>0.0</v>
      </c>
      <c r="G34" s="1">
        <v>169900.0</v>
      </c>
    </row>
    <row r="35">
      <c r="A35" s="2">
        <v>45559.0</v>
      </c>
      <c r="B35" s="1">
        <v>290100.0</v>
      </c>
      <c r="C35" s="1">
        <v>0.0</v>
      </c>
      <c r="D35" s="1">
        <v>0.0</v>
      </c>
      <c r="E35" s="1">
        <v>0.0</v>
      </c>
      <c r="F35" s="1">
        <v>0.0</v>
      </c>
      <c r="G35" s="1">
        <v>290100.0</v>
      </c>
    </row>
    <row r="36">
      <c r="A36" s="2">
        <v>45560.0</v>
      </c>
      <c r="B36" s="1">
        <v>197000.0</v>
      </c>
      <c r="C36" s="1">
        <v>0.0</v>
      </c>
      <c r="D36" s="1">
        <v>0.0</v>
      </c>
      <c r="E36" s="1">
        <v>0.0</v>
      </c>
      <c r="F36" s="1">
        <v>0.0</v>
      </c>
      <c r="G36" s="1">
        <v>197000.0</v>
      </c>
    </row>
    <row r="37">
      <c r="A37" s="2">
        <v>45561.0</v>
      </c>
      <c r="B37" s="1">
        <v>111800.0</v>
      </c>
      <c r="C37" s="1">
        <v>0.0</v>
      </c>
      <c r="D37" s="1">
        <v>0.0</v>
      </c>
      <c r="E37" s="1">
        <v>0.0</v>
      </c>
      <c r="F37" s="1">
        <v>0.0</v>
      </c>
      <c r="G37" s="1">
        <v>111800.0</v>
      </c>
    </row>
    <row r="38">
      <c r="A38" s="2">
        <v>45562.0</v>
      </c>
      <c r="B38" s="1">
        <v>171400.0</v>
      </c>
      <c r="C38" s="1">
        <v>0.0</v>
      </c>
      <c r="D38" s="1">
        <v>0.0</v>
      </c>
      <c r="E38" s="1">
        <v>0.0</v>
      </c>
      <c r="F38" s="1">
        <v>0.0</v>
      </c>
      <c r="G38" s="1">
        <v>171400.0</v>
      </c>
    </row>
    <row r="39">
      <c r="A39" s="2">
        <v>45563.0</v>
      </c>
      <c r="B39" s="1">
        <v>309700.0</v>
      </c>
      <c r="C39" s="1">
        <v>0.0</v>
      </c>
      <c r="D39" s="1">
        <v>0.0</v>
      </c>
      <c r="E39" s="1">
        <v>0.0</v>
      </c>
      <c r="F39" s="1">
        <v>0.0</v>
      </c>
      <c r="G39" s="1">
        <v>309700.0</v>
      </c>
    </row>
    <row r="40">
      <c r="A40" s="2">
        <v>45564.0</v>
      </c>
      <c r="B40" s="1">
        <v>184600.0</v>
      </c>
      <c r="C40" s="1">
        <v>0.0</v>
      </c>
      <c r="D40" s="1">
        <v>0.0</v>
      </c>
      <c r="E40" s="1">
        <v>0.0</v>
      </c>
      <c r="F40" s="1">
        <v>0.0</v>
      </c>
      <c r="G40" s="1">
        <v>184600.0</v>
      </c>
    </row>
    <row r="41">
      <c r="A41" s="2">
        <v>45565.0</v>
      </c>
      <c r="B41" s="1">
        <v>137000.0</v>
      </c>
      <c r="C41" s="1">
        <v>0.0</v>
      </c>
      <c r="D41" s="1">
        <v>0.0</v>
      </c>
      <c r="E41" s="1">
        <v>0.0</v>
      </c>
      <c r="F41" s="1">
        <v>0.0</v>
      </c>
      <c r="G41" s="1">
        <v>137000.0</v>
      </c>
    </row>
    <row r="42">
      <c r="A42" s="2">
        <v>45566.0</v>
      </c>
      <c r="B42" s="1">
        <v>168900.0</v>
      </c>
      <c r="C42" s="1">
        <v>0.0</v>
      </c>
      <c r="D42" s="1">
        <v>0.0</v>
      </c>
      <c r="E42" s="1">
        <v>0.0</v>
      </c>
      <c r="F42" s="1">
        <v>0.0</v>
      </c>
      <c r="G42" s="1">
        <v>168900.0</v>
      </c>
    </row>
    <row r="43">
      <c r="A43" s="2">
        <v>45567.0</v>
      </c>
      <c r="B43" s="1">
        <v>227700.0</v>
      </c>
      <c r="C43" s="1">
        <v>0.0</v>
      </c>
      <c r="D43" s="1">
        <v>0.0</v>
      </c>
      <c r="E43" s="1">
        <v>0.0</v>
      </c>
      <c r="F43" s="1">
        <v>0.0</v>
      </c>
      <c r="G43" s="1">
        <v>227700.0</v>
      </c>
    </row>
    <row r="44">
      <c r="A44" s="2">
        <v>45568.0</v>
      </c>
      <c r="B44" s="1">
        <v>238700.0</v>
      </c>
      <c r="C44" s="1">
        <v>0.0</v>
      </c>
      <c r="D44" s="1">
        <v>0.0</v>
      </c>
      <c r="E44" s="1">
        <v>0.0</v>
      </c>
      <c r="F44" s="1">
        <v>0.0</v>
      </c>
      <c r="G44" s="1">
        <v>238700.0</v>
      </c>
    </row>
    <row r="45">
      <c r="A45" s="2">
        <v>45569.0</v>
      </c>
      <c r="B45" s="1">
        <v>203900.0</v>
      </c>
      <c r="C45" s="1">
        <v>0.0</v>
      </c>
      <c r="D45" s="1">
        <v>0.0</v>
      </c>
      <c r="E45" s="1">
        <v>0.0</v>
      </c>
      <c r="F45" s="1">
        <v>0.0</v>
      </c>
      <c r="G45" s="1">
        <v>203900.0</v>
      </c>
    </row>
    <row r="46">
      <c r="A46" s="2">
        <v>45570.0</v>
      </c>
      <c r="B46" s="1">
        <v>137500.0</v>
      </c>
      <c r="C46" s="1">
        <v>0.0</v>
      </c>
      <c r="D46" s="1">
        <v>0.0</v>
      </c>
      <c r="E46" s="1">
        <v>0.0</v>
      </c>
      <c r="F46" s="1">
        <v>0.0</v>
      </c>
      <c r="G46" s="1">
        <v>137500.0</v>
      </c>
    </row>
    <row r="47">
      <c r="A47" s="2">
        <v>45571.0</v>
      </c>
      <c r="B47" s="1">
        <v>140900.0</v>
      </c>
      <c r="C47" s="1">
        <v>0.0</v>
      </c>
      <c r="D47" s="1">
        <v>0.0</v>
      </c>
      <c r="E47" s="1">
        <v>0.0</v>
      </c>
      <c r="F47" s="1">
        <v>0.0</v>
      </c>
      <c r="G47" s="1">
        <v>140900.0</v>
      </c>
    </row>
    <row r="48">
      <c r="A48" s="2">
        <v>45572.0</v>
      </c>
      <c r="B48" s="1">
        <v>67400.0</v>
      </c>
      <c r="C48" s="1">
        <v>0.0</v>
      </c>
      <c r="D48" s="1">
        <v>0.0</v>
      </c>
      <c r="E48" s="1">
        <v>0.0</v>
      </c>
      <c r="F48" s="1">
        <v>0.0</v>
      </c>
      <c r="G48" s="1">
        <v>67400.0</v>
      </c>
    </row>
    <row r="49">
      <c r="A49" s="2">
        <v>45573.0</v>
      </c>
      <c r="B49" s="1">
        <v>101400.0</v>
      </c>
      <c r="C49" s="1">
        <v>0.0</v>
      </c>
      <c r="D49" s="1">
        <v>0.0</v>
      </c>
      <c r="E49" s="1">
        <v>0.0</v>
      </c>
      <c r="F49" s="1">
        <v>0.0</v>
      </c>
      <c r="G49" s="1">
        <v>101400.0</v>
      </c>
    </row>
    <row r="50">
      <c r="A50" s="2">
        <v>45574.0</v>
      </c>
      <c r="B50" s="1">
        <v>220100.0</v>
      </c>
      <c r="C50" s="1">
        <v>0.0</v>
      </c>
      <c r="D50" s="1">
        <v>0.0</v>
      </c>
      <c r="E50" s="1">
        <v>0.0</v>
      </c>
      <c r="F50" s="1">
        <v>0.0</v>
      </c>
      <c r="G50" s="1">
        <v>220100.0</v>
      </c>
    </row>
    <row r="51">
      <c r="A51" s="2">
        <v>45575.0</v>
      </c>
      <c r="B51" s="1">
        <v>187500.0</v>
      </c>
      <c r="C51" s="1">
        <v>0.0</v>
      </c>
      <c r="D51" s="1">
        <v>0.0</v>
      </c>
      <c r="E51" s="1">
        <v>0.0</v>
      </c>
      <c r="F51" s="1">
        <v>0.0</v>
      </c>
      <c r="G51" s="1">
        <v>187500.0</v>
      </c>
    </row>
    <row r="52">
      <c r="A52" s="2">
        <v>45576.0</v>
      </c>
      <c r="B52" s="1">
        <v>309600.0</v>
      </c>
      <c r="C52" s="1">
        <v>0.0</v>
      </c>
      <c r="D52" s="1">
        <v>0.0</v>
      </c>
      <c r="E52" s="1">
        <v>0.0</v>
      </c>
      <c r="F52" s="1">
        <v>0.0</v>
      </c>
      <c r="G52" s="1">
        <v>309600.0</v>
      </c>
    </row>
    <row r="53">
      <c r="A53" s="2">
        <v>45577.0</v>
      </c>
      <c r="B53" s="1">
        <v>268100.0</v>
      </c>
      <c r="C53" s="1">
        <v>0.0</v>
      </c>
      <c r="D53" s="1">
        <v>0.0</v>
      </c>
      <c r="E53" s="1">
        <v>0.0</v>
      </c>
      <c r="F53" s="1">
        <v>0.0</v>
      </c>
      <c r="G53" s="1">
        <v>268100.0</v>
      </c>
    </row>
    <row r="54">
      <c r="A54" s="2">
        <v>45578.0</v>
      </c>
      <c r="B54" s="1">
        <v>129800.0</v>
      </c>
      <c r="C54" s="1">
        <v>0.0</v>
      </c>
      <c r="D54" s="1">
        <v>0.0</v>
      </c>
      <c r="E54" s="1">
        <v>0.0</v>
      </c>
      <c r="F54" s="1">
        <v>0.0</v>
      </c>
      <c r="G54" s="1">
        <v>129800.0</v>
      </c>
    </row>
    <row r="55">
      <c r="A55" s="2">
        <v>45579.0</v>
      </c>
      <c r="B55" s="1">
        <v>141800.0</v>
      </c>
      <c r="C55" s="1">
        <v>0.0</v>
      </c>
      <c r="D55" s="1">
        <v>0.0</v>
      </c>
      <c r="E55" s="1">
        <v>0.0</v>
      </c>
      <c r="F55" s="1">
        <v>0.0</v>
      </c>
      <c r="G55" s="1">
        <v>141800.0</v>
      </c>
    </row>
    <row r="56">
      <c r="A56" s="2">
        <v>45580.0</v>
      </c>
      <c r="B56" s="1">
        <v>137000.0</v>
      </c>
      <c r="C56" s="1">
        <v>0.0</v>
      </c>
      <c r="D56" s="1">
        <v>0.0</v>
      </c>
      <c r="E56" s="1">
        <v>0.0</v>
      </c>
      <c r="F56" s="1">
        <v>0.0</v>
      </c>
      <c r="G56" s="1">
        <v>137000.0</v>
      </c>
    </row>
    <row r="57">
      <c r="A57" s="2">
        <v>45581.0</v>
      </c>
      <c r="B57" s="1">
        <v>188300.0</v>
      </c>
      <c r="C57" s="1">
        <v>0.0</v>
      </c>
      <c r="D57" s="1">
        <v>0.0</v>
      </c>
      <c r="E57" s="1">
        <v>0.0</v>
      </c>
      <c r="F57" s="1">
        <v>0.0</v>
      </c>
      <c r="G57" s="1">
        <v>188300.0</v>
      </c>
    </row>
    <row r="58">
      <c r="A58" s="2">
        <v>45582.0</v>
      </c>
      <c r="B58" s="1">
        <v>212700.0</v>
      </c>
      <c r="C58" s="1">
        <v>0.0</v>
      </c>
      <c r="D58" s="1">
        <v>0.0</v>
      </c>
      <c r="E58" s="1">
        <v>0.0</v>
      </c>
      <c r="F58" s="1">
        <v>0.0</v>
      </c>
      <c r="G58" s="1">
        <v>212700.0</v>
      </c>
    </row>
    <row r="59">
      <c r="A59" s="2">
        <v>45583.0</v>
      </c>
      <c r="B59" s="1">
        <v>249700.0</v>
      </c>
      <c r="C59" s="1">
        <v>0.0</v>
      </c>
      <c r="D59" s="1">
        <v>0.0</v>
      </c>
      <c r="E59" s="1">
        <v>0.0</v>
      </c>
      <c r="F59" s="1">
        <v>0.0</v>
      </c>
      <c r="G59" s="1">
        <v>249700.0</v>
      </c>
    </row>
    <row r="60">
      <c r="A60" s="2">
        <v>45584.0</v>
      </c>
      <c r="B60" s="1">
        <v>158900.0</v>
      </c>
      <c r="C60" s="1">
        <v>0.0</v>
      </c>
      <c r="D60" s="1">
        <v>0.0</v>
      </c>
      <c r="E60" s="1">
        <v>0.0</v>
      </c>
      <c r="F60" s="1">
        <v>0.0</v>
      </c>
      <c r="G60" s="1">
        <v>158900.0</v>
      </c>
    </row>
    <row r="61">
      <c r="A61" s="2">
        <v>45585.0</v>
      </c>
      <c r="B61" s="1">
        <v>97900.0</v>
      </c>
      <c r="C61" s="1">
        <v>0.0</v>
      </c>
      <c r="D61" s="1">
        <v>0.0</v>
      </c>
      <c r="E61" s="1">
        <v>0.0</v>
      </c>
      <c r="F61" s="1">
        <v>0.0</v>
      </c>
      <c r="G61" s="1">
        <v>97900.0</v>
      </c>
    </row>
    <row r="62">
      <c r="A62" s="2">
        <v>45586.0</v>
      </c>
      <c r="B62" s="1">
        <v>79300.0</v>
      </c>
      <c r="C62" s="1">
        <v>0.0</v>
      </c>
      <c r="D62" s="1">
        <v>0.0</v>
      </c>
      <c r="E62" s="1">
        <v>0.0</v>
      </c>
      <c r="F62" s="1">
        <v>0.0</v>
      </c>
      <c r="G62" s="1">
        <v>79300.0</v>
      </c>
    </row>
    <row r="63">
      <c r="A63" s="2">
        <v>45587.0</v>
      </c>
      <c r="B63" s="1">
        <v>141900.0</v>
      </c>
      <c r="C63" s="1">
        <v>0.0</v>
      </c>
      <c r="D63" s="1">
        <v>0.0</v>
      </c>
      <c r="E63" s="1">
        <v>0.0</v>
      </c>
      <c r="F63" s="1">
        <v>0.0</v>
      </c>
      <c r="G63" s="1">
        <v>141900.0</v>
      </c>
    </row>
    <row r="64">
      <c r="A64" s="2">
        <v>45588.0</v>
      </c>
      <c r="B64" s="1">
        <v>213600.0</v>
      </c>
      <c r="C64" s="1">
        <v>0.0</v>
      </c>
      <c r="D64" s="1">
        <v>0.0</v>
      </c>
      <c r="E64" s="1">
        <v>0.0</v>
      </c>
      <c r="F64" s="1">
        <v>0.0</v>
      </c>
      <c r="G64" s="1">
        <v>213600.0</v>
      </c>
    </row>
    <row r="65">
      <c r="A65" s="2">
        <v>45589.0</v>
      </c>
      <c r="B65" s="1">
        <v>237200.0</v>
      </c>
      <c r="C65" s="1">
        <v>0.0</v>
      </c>
      <c r="D65" s="1">
        <v>0.0</v>
      </c>
      <c r="E65" s="1">
        <v>0.0</v>
      </c>
      <c r="F65" s="1">
        <v>0.0</v>
      </c>
      <c r="G65" s="1">
        <v>237200.0</v>
      </c>
    </row>
    <row r="66">
      <c r="A66" s="2">
        <v>45590.0</v>
      </c>
      <c r="B66" s="1">
        <v>366100.0</v>
      </c>
      <c r="C66" s="1">
        <v>0.0</v>
      </c>
      <c r="D66" s="1">
        <v>0.0</v>
      </c>
      <c r="E66" s="1">
        <v>0.0</v>
      </c>
      <c r="F66" s="1">
        <v>0.0</v>
      </c>
      <c r="G66" s="1">
        <v>366100.0</v>
      </c>
    </row>
    <row r="67">
      <c r="A67" s="2">
        <v>45591.0</v>
      </c>
      <c r="B67" s="1">
        <v>265700.0</v>
      </c>
      <c r="C67" s="1">
        <v>0.0</v>
      </c>
      <c r="D67" s="1">
        <v>0.0</v>
      </c>
      <c r="E67" s="1">
        <v>0.0</v>
      </c>
      <c r="F67" s="1">
        <v>0.0</v>
      </c>
      <c r="G67" s="1">
        <v>265700.0</v>
      </c>
    </row>
    <row r="68">
      <c r="A68" s="2">
        <v>45592.0</v>
      </c>
      <c r="B68" s="1">
        <v>204200.0</v>
      </c>
      <c r="C68" s="1">
        <v>0.0</v>
      </c>
      <c r="D68" s="1">
        <v>0.0</v>
      </c>
      <c r="E68" s="1">
        <v>0.0</v>
      </c>
      <c r="F68" s="1">
        <v>0.0</v>
      </c>
      <c r="G68" s="1">
        <v>204200.0</v>
      </c>
    </row>
    <row r="69">
      <c r="A69" s="2">
        <v>45593.0</v>
      </c>
      <c r="B69" s="1">
        <v>272700.0</v>
      </c>
      <c r="C69" s="1">
        <v>0.0</v>
      </c>
      <c r="D69" s="1">
        <v>0.0</v>
      </c>
      <c r="E69" s="1">
        <v>0.0</v>
      </c>
      <c r="F69" s="1">
        <v>0.0</v>
      </c>
      <c r="G69" s="1">
        <v>272700.0</v>
      </c>
    </row>
    <row r="70">
      <c r="A70" s="2">
        <v>45594.0</v>
      </c>
      <c r="B70" s="1">
        <v>290600.0</v>
      </c>
      <c r="C70" s="1">
        <v>0.0</v>
      </c>
      <c r="D70" s="1">
        <v>0.0</v>
      </c>
      <c r="E70" s="1">
        <v>0.0</v>
      </c>
      <c r="F70" s="1">
        <v>0.0</v>
      </c>
      <c r="G70" s="1">
        <v>290600.0</v>
      </c>
    </row>
    <row r="71">
      <c r="A71" s="2">
        <v>45595.0</v>
      </c>
      <c r="B71" s="1">
        <v>208800.0</v>
      </c>
      <c r="C71" s="1">
        <v>0.0</v>
      </c>
      <c r="D71" s="1">
        <v>0.0</v>
      </c>
      <c r="E71" s="1">
        <v>0.0</v>
      </c>
      <c r="F71" s="1">
        <v>0.0</v>
      </c>
      <c r="G71" s="1">
        <v>208800.0</v>
      </c>
    </row>
    <row r="72">
      <c r="A72" s="2">
        <v>45596.0</v>
      </c>
      <c r="B72" s="1">
        <v>282800.0</v>
      </c>
      <c r="C72" s="1">
        <v>0.0</v>
      </c>
      <c r="D72" s="1">
        <v>0.0</v>
      </c>
      <c r="E72" s="1">
        <v>0.0</v>
      </c>
      <c r="F72" s="1">
        <v>0.0</v>
      </c>
      <c r="G72" s="1">
        <v>282800.0</v>
      </c>
    </row>
    <row r="73">
      <c r="A73" s="2">
        <v>45597.0</v>
      </c>
      <c r="B73" s="1">
        <v>222700.0</v>
      </c>
      <c r="C73" s="1">
        <v>0.0</v>
      </c>
      <c r="D73" s="1">
        <v>0.0</v>
      </c>
      <c r="E73" s="1">
        <v>0.0</v>
      </c>
      <c r="F73" s="1">
        <v>0.0</v>
      </c>
      <c r="G73" s="1">
        <v>222700.0</v>
      </c>
    </row>
    <row r="74">
      <c r="A74" s="2">
        <v>45598.0</v>
      </c>
      <c r="B74" s="1">
        <v>270500.0</v>
      </c>
      <c r="C74" s="1">
        <v>0.0</v>
      </c>
      <c r="D74" s="1">
        <v>0.0</v>
      </c>
      <c r="E74" s="1">
        <v>0.0</v>
      </c>
      <c r="F74" s="1">
        <v>0.0</v>
      </c>
      <c r="G74" s="1">
        <v>270500.0</v>
      </c>
    </row>
    <row r="75">
      <c r="A75" s="2">
        <v>45599.0</v>
      </c>
      <c r="B75" s="1">
        <v>104300.0</v>
      </c>
      <c r="C75" s="1">
        <v>0.0</v>
      </c>
      <c r="D75" s="1">
        <v>0.0</v>
      </c>
      <c r="E75" s="1">
        <v>0.0</v>
      </c>
      <c r="F75" s="1">
        <v>0.0</v>
      </c>
      <c r="G75" s="1">
        <v>104300.0</v>
      </c>
    </row>
    <row r="76">
      <c r="A76" s="2">
        <v>45600.0</v>
      </c>
      <c r="B76" s="1">
        <v>145700.0</v>
      </c>
      <c r="C76" s="1">
        <v>0.0</v>
      </c>
      <c r="D76" s="1">
        <v>0.0</v>
      </c>
      <c r="E76" s="1">
        <v>0.0</v>
      </c>
      <c r="F76" s="1">
        <v>0.0</v>
      </c>
      <c r="G76" s="1">
        <v>145700.0</v>
      </c>
    </row>
    <row r="77">
      <c r="A77" s="2">
        <v>45601.0</v>
      </c>
      <c r="B77" s="1">
        <v>182700.0</v>
      </c>
      <c r="C77" s="1">
        <v>0.0</v>
      </c>
      <c r="D77" s="1">
        <v>0.0</v>
      </c>
      <c r="E77" s="1">
        <v>0.0</v>
      </c>
      <c r="F77" s="1">
        <v>0.0</v>
      </c>
      <c r="G77" s="1">
        <v>182700.0</v>
      </c>
    </row>
    <row r="78">
      <c r="A78" s="2">
        <v>45602.0</v>
      </c>
      <c r="B78" s="1">
        <v>140000.0</v>
      </c>
      <c r="C78" s="1">
        <v>0.0</v>
      </c>
      <c r="D78" s="1">
        <v>0.0</v>
      </c>
      <c r="E78" s="1">
        <v>0.0</v>
      </c>
      <c r="F78" s="1">
        <v>0.0</v>
      </c>
      <c r="G78" s="1">
        <v>140000.0</v>
      </c>
    </row>
    <row r="79">
      <c r="A79" s="2">
        <v>45603.0</v>
      </c>
      <c r="B79" s="1">
        <v>262900.0</v>
      </c>
      <c r="C79" s="1">
        <v>0.0</v>
      </c>
      <c r="D79" s="1">
        <v>0.0</v>
      </c>
      <c r="E79" s="1">
        <v>0.0</v>
      </c>
      <c r="F79" s="1">
        <v>0.0</v>
      </c>
      <c r="G79" s="1">
        <v>262900.0</v>
      </c>
    </row>
    <row r="80">
      <c r="A80" s="2">
        <v>45604.0</v>
      </c>
      <c r="B80" s="1">
        <v>108100.0</v>
      </c>
      <c r="C80" s="1">
        <v>0.0</v>
      </c>
      <c r="D80" s="1">
        <v>0.0</v>
      </c>
      <c r="E80" s="1">
        <v>0.0</v>
      </c>
      <c r="F80" s="1">
        <v>0.0</v>
      </c>
      <c r="G80" s="1">
        <v>108100.0</v>
      </c>
    </row>
    <row r="81">
      <c r="A81" s="2">
        <v>45605.0</v>
      </c>
      <c r="B81" s="1">
        <v>238900.0</v>
      </c>
      <c r="C81" s="1">
        <v>0.0</v>
      </c>
      <c r="D81" s="1">
        <v>0.0</v>
      </c>
      <c r="E81" s="1">
        <v>0.0</v>
      </c>
      <c r="F81" s="1">
        <v>0.0</v>
      </c>
      <c r="G81" s="1">
        <v>238900.0</v>
      </c>
    </row>
    <row r="82">
      <c r="A82" s="2">
        <v>45606.0</v>
      </c>
      <c r="B82" s="1">
        <v>109800.0</v>
      </c>
      <c r="C82" s="1">
        <v>0.0</v>
      </c>
      <c r="D82" s="1">
        <v>0.0</v>
      </c>
      <c r="E82" s="1">
        <v>0.0</v>
      </c>
      <c r="F82" s="1">
        <v>0.0</v>
      </c>
      <c r="G82" s="1">
        <v>109800.0</v>
      </c>
    </row>
    <row r="83">
      <c r="A83" s="2">
        <v>45607.0</v>
      </c>
      <c r="B83" s="1">
        <v>256400.0</v>
      </c>
      <c r="C83" s="1">
        <v>0.0</v>
      </c>
      <c r="D83" s="1">
        <v>0.0</v>
      </c>
      <c r="E83" s="1">
        <v>0.0</v>
      </c>
      <c r="F83" s="1">
        <v>0.0</v>
      </c>
      <c r="G83" s="1">
        <v>256400.0</v>
      </c>
    </row>
    <row r="84">
      <c r="A84" s="2">
        <v>45608.0</v>
      </c>
      <c r="B84" s="1">
        <v>143200.0</v>
      </c>
      <c r="C84" s="1">
        <v>0.0</v>
      </c>
      <c r="D84" s="1">
        <v>0.0</v>
      </c>
      <c r="E84" s="1">
        <v>0.0</v>
      </c>
      <c r="F84" s="1">
        <v>0.0</v>
      </c>
      <c r="G84" s="1">
        <v>143200.0</v>
      </c>
    </row>
    <row r="85">
      <c r="A85" s="2">
        <v>45609.0</v>
      </c>
      <c r="B85" s="1">
        <v>144300.0</v>
      </c>
      <c r="C85" s="1">
        <v>0.0</v>
      </c>
      <c r="D85" s="1">
        <v>0.0</v>
      </c>
      <c r="E85" s="1">
        <v>0.0</v>
      </c>
      <c r="F85" s="1">
        <v>0.0</v>
      </c>
      <c r="G85" s="1">
        <v>144300.0</v>
      </c>
    </row>
    <row r="86">
      <c r="A86" s="2">
        <v>45610.0</v>
      </c>
      <c r="B86" s="1">
        <v>191800.0</v>
      </c>
      <c r="C86" s="1">
        <v>0.0</v>
      </c>
      <c r="D86" s="1">
        <v>0.0</v>
      </c>
      <c r="E86" s="1">
        <v>0.0</v>
      </c>
      <c r="F86" s="1">
        <v>0.0</v>
      </c>
      <c r="G86" s="1">
        <v>191800.0</v>
      </c>
    </row>
    <row r="87">
      <c r="A87" s="2">
        <v>45611.0</v>
      </c>
      <c r="B87" s="1">
        <v>192200.0</v>
      </c>
      <c r="C87" s="1">
        <v>0.0</v>
      </c>
      <c r="D87" s="1">
        <v>0.0</v>
      </c>
      <c r="E87" s="1">
        <v>0.0</v>
      </c>
      <c r="F87" s="1">
        <v>0.0</v>
      </c>
      <c r="G87" s="1">
        <v>192200.0</v>
      </c>
    </row>
    <row r="88">
      <c r="A88" s="2">
        <v>45612.0</v>
      </c>
      <c r="B88" s="1">
        <v>265100.0</v>
      </c>
      <c r="C88" s="1">
        <v>0.0</v>
      </c>
      <c r="D88" s="1">
        <v>0.0</v>
      </c>
      <c r="E88" s="1">
        <v>0.0</v>
      </c>
      <c r="F88" s="1">
        <v>0.0</v>
      </c>
      <c r="G88" s="1">
        <v>265100.0</v>
      </c>
    </row>
    <row r="89">
      <c r="A89" s="2">
        <v>45613.0</v>
      </c>
      <c r="B89" s="1">
        <v>134400.0</v>
      </c>
      <c r="C89" s="1">
        <v>0.0</v>
      </c>
      <c r="D89" s="1">
        <v>0.0</v>
      </c>
      <c r="E89" s="1">
        <v>0.0</v>
      </c>
      <c r="F89" s="1">
        <v>0.0</v>
      </c>
      <c r="G89" s="1">
        <v>134400.0</v>
      </c>
    </row>
    <row r="90">
      <c r="A90" s="2">
        <v>45614.0</v>
      </c>
      <c r="B90" s="1">
        <v>73400.0</v>
      </c>
      <c r="C90" s="1">
        <v>0.0</v>
      </c>
      <c r="D90" s="1">
        <v>0.0</v>
      </c>
      <c r="E90" s="1">
        <v>0.0</v>
      </c>
      <c r="F90" s="1">
        <v>0.0</v>
      </c>
      <c r="G90" s="1">
        <v>73400.0</v>
      </c>
    </row>
    <row r="91">
      <c r="A91" s="2">
        <v>45615.0</v>
      </c>
      <c r="B91" s="1">
        <v>109100.0</v>
      </c>
      <c r="C91" s="1">
        <v>0.0</v>
      </c>
      <c r="D91" s="1">
        <v>0.0</v>
      </c>
      <c r="E91" s="1">
        <v>0.0</v>
      </c>
      <c r="F91" s="1">
        <v>0.0</v>
      </c>
      <c r="G91" s="1">
        <v>109100.0</v>
      </c>
    </row>
    <row r="92">
      <c r="A92" s="2">
        <v>45616.0</v>
      </c>
      <c r="B92" s="1">
        <v>93400.0</v>
      </c>
      <c r="C92" s="1">
        <v>0.0</v>
      </c>
      <c r="D92" s="1">
        <v>0.0</v>
      </c>
      <c r="E92" s="1">
        <v>0.0</v>
      </c>
      <c r="F92" s="1">
        <v>0.0</v>
      </c>
      <c r="G92" s="1">
        <v>93400.0</v>
      </c>
    </row>
    <row r="93">
      <c r="A93" s="2">
        <v>45617.0</v>
      </c>
      <c r="B93" s="1">
        <v>140800.0</v>
      </c>
      <c r="C93" s="1">
        <v>0.0</v>
      </c>
      <c r="D93" s="1">
        <v>0.0</v>
      </c>
      <c r="E93" s="1">
        <v>0.0</v>
      </c>
      <c r="F93" s="1">
        <v>0.0</v>
      </c>
      <c r="G93" s="1">
        <v>140800.0</v>
      </c>
    </row>
    <row r="94">
      <c r="A94" s="2">
        <v>45618.0</v>
      </c>
      <c r="B94" s="1">
        <v>174000.0</v>
      </c>
      <c r="C94" s="1">
        <v>0.0</v>
      </c>
      <c r="D94" s="1">
        <v>0.0</v>
      </c>
      <c r="E94" s="1">
        <v>0.0</v>
      </c>
      <c r="F94" s="1">
        <v>0.0</v>
      </c>
      <c r="G94" s="1">
        <v>174000.0</v>
      </c>
    </row>
    <row r="95">
      <c r="A95" s="2">
        <v>45619.0</v>
      </c>
      <c r="B95" s="1">
        <v>86200.0</v>
      </c>
      <c r="C95" s="1">
        <v>0.0</v>
      </c>
      <c r="D95" s="1">
        <v>0.0</v>
      </c>
      <c r="E95" s="1">
        <v>0.0</v>
      </c>
      <c r="F95" s="1">
        <v>0.0</v>
      </c>
      <c r="G95" s="1">
        <v>86200.0</v>
      </c>
    </row>
    <row r="96">
      <c r="A96" s="2">
        <v>45620.0</v>
      </c>
      <c r="B96" s="1">
        <v>145000.0</v>
      </c>
      <c r="C96" s="1">
        <v>0.0</v>
      </c>
      <c r="D96" s="1">
        <v>0.0</v>
      </c>
      <c r="E96" s="1">
        <v>0.0</v>
      </c>
      <c r="F96" s="1">
        <v>0.0</v>
      </c>
      <c r="G96" s="1">
        <v>145000.0</v>
      </c>
    </row>
    <row r="97">
      <c r="A97" s="2">
        <v>45621.0</v>
      </c>
      <c r="B97" s="1">
        <v>94100.0</v>
      </c>
      <c r="C97" s="1">
        <v>0.0</v>
      </c>
      <c r="D97" s="1">
        <v>0.0</v>
      </c>
      <c r="E97" s="1">
        <v>0.0</v>
      </c>
      <c r="F97" s="1">
        <v>0.0</v>
      </c>
      <c r="G97" s="1">
        <v>94100.0</v>
      </c>
    </row>
    <row r="98">
      <c r="A98" s="2">
        <v>45622.0</v>
      </c>
      <c r="B98" s="1">
        <v>82200.0</v>
      </c>
      <c r="C98" s="1">
        <v>0.0</v>
      </c>
      <c r="D98" s="1">
        <v>0.0</v>
      </c>
      <c r="E98" s="1">
        <v>0.0</v>
      </c>
      <c r="F98" s="1">
        <v>0.0</v>
      </c>
      <c r="G98" s="1">
        <v>82200.0</v>
      </c>
    </row>
    <row r="99">
      <c r="A99" s="2">
        <v>45623.0</v>
      </c>
      <c r="B99" s="1">
        <v>43600.0</v>
      </c>
      <c r="C99" s="1">
        <v>0.0</v>
      </c>
      <c r="D99" s="1">
        <v>0.0</v>
      </c>
      <c r="E99" s="1">
        <v>0.0</v>
      </c>
      <c r="F99" s="1">
        <v>0.0</v>
      </c>
      <c r="G99" s="1">
        <v>43600.0</v>
      </c>
    </row>
    <row r="100">
      <c r="A100" s="2">
        <v>45624.0</v>
      </c>
      <c r="B100" s="1">
        <v>163900.0</v>
      </c>
      <c r="C100" s="1">
        <v>0.0</v>
      </c>
      <c r="D100" s="1">
        <v>0.0</v>
      </c>
      <c r="E100" s="1">
        <v>0.0</v>
      </c>
      <c r="F100" s="1">
        <v>0.0</v>
      </c>
      <c r="G100" s="1">
        <v>163900.0</v>
      </c>
    </row>
    <row r="101">
      <c r="A101" s="2">
        <v>45625.0</v>
      </c>
      <c r="B101" s="1">
        <v>266500.0</v>
      </c>
      <c r="C101" s="1">
        <v>0.0</v>
      </c>
      <c r="D101" s="1">
        <v>0.0</v>
      </c>
      <c r="E101" s="1">
        <v>0.0</v>
      </c>
      <c r="F101" s="1">
        <v>0.0</v>
      </c>
      <c r="G101" s="1">
        <v>266500.0</v>
      </c>
    </row>
    <row r="102">
      <c r="A102" s="2">
        <v>45626.0</v>
      </c>
      <c r="B102" s="1">
        <v>127900.0</v>
      </c>
      <c r="C102" s="1">
        <v>0.0</v>
      </c>
      <c r="D102" s="1">
        <v>0.0</v>
      </c>
      <c r="E102" s="1">
        <v>0.0</v>
      </c>
      <c r="F102" s="1">
        <v>0.0</v>
      </c>
      <c r="G102" s="1">
        <v>127900.0</v>
      </c>
    </row>
    <row r="103">
      <c r="A103" s="2">
        <v>45627.0</v>
      </c>
      <c r="B103" s="1">
        <v>114000.0</v>
      </c>
      <c r="C103" s="1">
        <v>0.0</v>
      </c>
      <c r="D103" s="1">
        <v>0.0</v>
      </c>
      <c r="E103" s="1">
        <v>0.0</v>
      </c>
      <c r="F103" s="1">
        <v>0.0</v>
      </c>
      <c r="G103" s="1">
        <v>114000.0</v>
      </c>
    </row>
    <row r="104">
      <c r="A104" s="2">
        <v>45628.0</v>
      </c>
      <c r="B104" s="1">
        <v>62800.0</v>
      </c>
      <c r="C104" s="1">
        <v>0.0</v>
      </c>
      <c r="D104" s="1">
        <v>0.0</v>
      </c>
      <c r="E104" s="1">
        <v>0.0</v>
      </c>
      <c r="F104" s="1">
        <v>0.0</v>
      </c>
      <c r="G104" s="1">
        <v>62800.0</v>
      </c>
    </row>
    <row r="105">
      <c r="A105" s="2">
        <v>45629.0</v>
      </c>
      <c r="B105" s="1">
        <v>68400.0</v>
      </c>
      <c r="C105" s="1">
        <v>0.0</v>
      </c>
      <c r="D105" s="1">
        <v>0.0</v>
      </c>
      <c r="E105" s="1">
        <v>0.0</v>
      </c>
      <c r="F105" s="1">
        <v>0.0</v>
      </c>
      <c r="G105" s="1">
        <v>68400.0</v>
      </c>
    </row>
    <row r="106">
      <c r="A106" s="2">
        <v>45630.0</v>
      </c>
      <c r="B106" s="1">
        <v>64300.0</v>
      </c>
      <c r="C106" s="1">
        <v>0.0</v>
      </c>
      <c r="D106" s="1">
        <v>0.0</v>
      </c>
      <c r="E106" s="1">
        <v>0.0</v>
      </c>
      <c r="F106" s="1">
        <v>0.0</v>
      </c>
      <c r="G106" s="1">
        <v>64300.0</v>
      </c>
    </row>
    <row r="107">
      <c r="A107" s="2">
        <v>45631.0</v>
      </c>
      <c r="B107" s="1">
        <v>210100.0</v>
      </c>
      <c r="C107" s="1">
        <v>0.0</v>
      </c>
      <c r="D107" s="1">
        <v>0.0</v>
      </c>
      <c r="E107" s="1">
        <v>0.0</v>
      </c>
      <c r="F107" s="1">
        <v>0.0</v>
      </c>
      <c r="G107" s="1">
        <v>210100.0</v>
      </c>
    </row>
    <row r="108">
      <c r="A108" s="2">
        <v>45632.0</v>
      </c>
      <c r="B108" s="1">
        <v>241900.0</v>
      </c>
      <c r="C108" s="1">
        <v>0.0</v>
      </c>
      <c r="D108" s="1">
        <v>0.0</v>
      </c>
      <c r="E108" s="1">
        <v>0.0</v>
      </c>
      <c r="F108" s="1">
        <v>0.0</v>
      </c>
      <c r="G108" s="1">
        <v>241900.0</v>
      </c>
    </row>
    <row r="109">
      <c r="A109" s="2">
        <v>45633.0</v>
      </c>
      <c r="B109" s="1">
        <v>175700.0</v>
      </c>
      <c r="C109" s="1">
        <v>0.0</v>
      </c>
      <c r="D109" s="1">
        <v>0.0</v>
      </c>
      <c r="E109" s="1">
        <v>0.0</v>
      </c>
      <c r="F109" s="1">
        <v>0.0</v>
      </c>
      <c r="G109" s="1">
        <v>175700.0</v>
      </c>
    </row>
    <row r="110">
      <c r="A110" s="2">
        <v>45634.0</v>
      </c>
      <c r="B110" s="1">
        <v>116400.0</v>
      </c>
      <c r="C110" s="1">
        <v>0.0</v>
      </c>
      <c r="D110" s="1">
        <v>0.0</v>
      </c>
      <c r="E110" s="1">
        <v>0.0</v>
      </c>
      <c r="F110" s="1">
        <v>0.0</v>
      </c>
      <c r="G110" s="1">
        <v>116400.0</v>
      </c>
    </row>
    <row r="111">
      <c r="A111" s="2">
        <v>45635.0</v>
      </c>
      <c r="B111" s="1">
        <v>14200.0</v>
      </c>
      <c r="C111" s="1">
        <v>0.0</v>
      </c>
      <c r="D111" s="1">
        <v>0.0</v>
      </c>
      <c r="E111" s="1">
        <v>0.0</v>
      </c>
      <c r="F111" s="1">
        <v>0.0</v>
      </c>
      <c r="G111" s="1">
        <v>14200.0</v>
      </c>
    </row>
    <row r="112">
      <c r="A112" s="2">
        <v>45636.0</v>
      </c>
      <c r="B112" s="1">
        <v>92800.0</v>
      </c>
      <c r="C112" s="1">
        <v>0.0</v>
      </c>
      <c r="D112" s="1">
        <v>0.0</v>
      </c>
      <c r="E112" s="1">
        <v>0.0</v>
      </c>
      <c r="F112" s="1">
        <v>0.0</v>
      </c>
      <c r="G112" s="1">
        <v>92800.0</v>
      </c>
    </row>
    <row r="113">
      <c r="A113" s="2">
        <v>45637.0</v>
      </c>
      <c r="B113" s="1">
        <v>84300.0</v>
      </c>
      <c r="C113" s="1">
        <v>0.0</v>
      </c>
      <c r="D113" s="1">
        <v>0.0</v>
      </c>
      <c r="E113" s="1">
        <v>0.0</v>
      </c>
      <c r="F113" s="1">
        <v>0.0</v>
      </c>
      <c r="G113" s="1">
        <v>84300.0</v>
      </c>
    </row>
    <row r="114">
      <c r="A114" s="2">
        <v>45638.0</v>
      </c>
      <c r="B114" s="1">
        <v>93700.0</v>
      </c>
      <c r="C114" s="1">
        <v>0.0</v>
      </c>
      <c r="D114" s="1">
        <v>0.0</v>
      </c>
      <c r="E114" s="1">
        <v>0.0</v>
      </c>
      <c r="F114" s="1">
        <v>0.0</v>
      </c>
      <c r="G114" s="1">
        <v>93700.0</v>
      </c>
    </row>
    <row r="115">
      <c r="A115" s="2">
        <v>45639.0</v>
      </c>
      <c r="B115" s="1">
        <v>181200.0</v>
      </c>
      <c r="C115" s="1">
        <v>0.0</v>
      </c>
      <c r="D115" s="1">
        <v>0.0</v>
      </c>
      <c r="E115" s="1">
        <v>0.0</v>
      </c>
      <c r="F115" s="1">
        <v>0.0</v>
      </c>
      <c r="G115" s="1">
        <v>181200.0</v>
      </c>
    </row>
    <row r="116">
      <c r="A116" s="2">
        <v>45640.0</v>
      </c>
      <c r="B116" s="1">
        <v>109200.0</v>
      </c>
      <c r="C116" s="1">
        <v>0.0</v>
      </c>
      <c r="D116" s="1">
        <v>0.0</v>
      </c>
      <c r="E116" s="1">
        <v>0.0</v>
      </c>
      <c r="F116" s="1">
        <v>0.0</v>
      </c>
      <c r="G116" s="1">
        <v>109200.0</v>
      </c>
    </row>
    <row r="117">
      <c r="A117" s="2">
        <v>45641.0</v>
      </c>
      <c r="B117" s="1">
        <v>141700.0</v>
      </c>
      <c r="C117" s="1">
        <v>0.0</v>
      </c>
      <c r="D117" s="1">
        <v>0.0</v>
      </c>
      <c r="E117" s="1">
        <v>0.0</v>
      </c>
      <c r="F117" s="1">
        <v>0.0</v>
      </c>
      <c r="G117" s="1">
        <v>141700.0</v>
      </c>
    </row>
    <row r="118">
      <c r="A118" s="2">
        <v>45642.0</v>
      </c>
      <c r="B118" s="1">
        <v>55100.0</v>
      </c>
      <c r="C118" s="1">
        <v>0.0</v>
      </c>
      <c r="D118" s="1">
        <v>0.0</v>
      </c>
      <c r="E118" s="1">
        <v>0.0</v>
      </c>
      <c r="F118" s="1">
        <v>0.0</v>
      </c>
      <c r="G118" s="1">
        <v>55100.0</v>
      </c>
    </row>
    <row r="119">
      <c r="A119" s="2">
        <v>45643.0</v>
      </c>
      <c r="B119" s="1">
        <v>150300.0</v>
      </c>
      <c r="C119" s="1">
        <v>0.0</v>
      </c>
      <c r="D119" s="1">
        <v>0.0</v>
      </c>
      <c r="E119" s="1">
        <v>0.0</v>
      </c>
      <c r="F119" s="1">
        <v>0.0</v>
      </c>
      <c r="G119" s="1">
        <v>150300.0</v>
      </c>
    </row>
    <row r="120">
      <c r="A120" s="2">
        <v>45644.0</v>
      </c>
      <c r="B120" s="1">
        <v>44500.0</v>
      </c>
      <c r="C120" s="1">
        <v>0.0</v>
      </c>
      <c r="D120" s="1">
        <v>0.0</v>
      </c>
      <c r="E120" s="1">
        <v>0.0</v>
      </c>
      <c r="F120" s="1">
        <v>0.0</v>
      </c>
      <c r="G120" s="1">
        <v>44500.0</v>
      </c>
    </row>
    <row r="121">
      <c r="A121" s="2">
        <v>45645.0</v>
      </c>
      <c r="B121" s="1">
        <v>66300.0</v>
      </c>
      <c r="C121" s="1">
        <v>0.0</v>
      </c>
      <c r="D121" s="1">
        <v>0.0</v>
      </c>
      <c r="E121" s="1">
        <v>0.0</v>
      </c>
      <c r="F121" s="1">
        <v>0.0</v>
      </c>
      <c r="G121" s="1">
        <v>66300.0</v>
      </c>
    </row>
    <row r="122">
      <c r="A122" s="2">
        <v>45646.0</v>
      </c>
      <c r="B122" s="1">
        <v>165400.0</v>
      </c>
      <c r="C122" s="1">
        <v>0.0</v>
      </c>
      <c r="D122" s="1">
        <v>0.0</v>
      </c>
      <c r="E122" s="1">
        <v>0.0</v>
      </c>
      <c r="F122" s="1">
        <v>0.0</v>
      </c>
      <c r="G122" s="1">
        <v>165400.0</v>
      </c>
    </row>
    <row r="123">
      <c r="A123" s="2">
        <v>45647.0</v>
      </c>
      <c r="B123" s="1">
        <v>172000.0</v>
      </c>
      <c r="C123" s="1">
        <v>0.0</v>
      </c>
      <c r="D123" s="1">
        <v>0.0</v>
      </c>
      <c r="E123" s="1">
        <v>0.0</v>
      </c>
      <c r="F123" s="1">
        <v>0.0</v>
      </c>
      <c r="G123" s="1">
        <v>172000.0</v>
      </c>
    </row>
    <row r="124">
      <c r="A124" s="2">
        <v>45648.0</v>
      </c>
      <c r="B124" s="1">
        <v>221800.0</v>
      </c>
      <c r="C124" s="1">
        <v>0.0</v>
      </c>
      <c r="D124" s="1">
        <v>0.0</v>
      </c>
      <c r="E124" s="1">
        <v>0.0</v>
      </c>
      <c r="F124" s="1">
        <v>0.0</v>
      </c>
      <c r="G124" s="1">
        <v>221800.0</v>
      </c>
    </row>
    <row r="125">
      <c r="A125" s="2">
        <v>45649.0</v>
      </c>
      <c r="B125" s="1">
        <v>218000.0</v>
      </c>
      <c r="C125" s="1">
        <v>0.0</v>
      </c>
      <c r="D125" s="1">
        <v>0.0</v>
      </c>
      <c r="E125" s="1">
        <v>0.0</v>
      </c>
      <c r="F125" s="1">
        <v>0.0</v>
      </c>
      <c r="G125" s="1">
        <v>218000.0</v>
      </c>
    </row>
    <row r="126">
      <c r="A126" s="2">
        <v>45650.0</v>
      </c>
      <c r="B126" s="1">
        <v>96300.0</v>
      </c>
      <c r="C126" s="1">
        <v>0.0</v>
      </c>
      <c r="D126" s="1">
        <v>0.0</v>
      </c>
      <c r="E126" s="1">
        <v>0.0</v>
      </c>
      <c r="F126" s="1">
        <v>0.0</v>
      </c>
      <c r="G126" s="1">
        <v>96300.0</v>
      </c>
    </row>
    <row r="127">
      <c r="A127" s="2">
        <v>45651.0</v>
      </c>
      <c r="B127" s="1">
        <v>182100.0</v>
      </c>
      <c r="C127" s="1">
        <v>0.0</v>
      </c>
      <c r="D127" s="1">
        <v>0.0</v>
      </c>
      <c r="E127" s="1">
        <v>0.0</v>
      </c>
      <c r="F127" s="1">
        <v>0.0</v>
      </c>
      <c r="G127" s="1">
        <v>182100.0</v>
      </c>
    </row>
    <row r="128">
      <c r="A128" s="2">
        <v>45652.0</v>
      </c>
      <c r="B128" s="1">
        <v>247500.0</v>
      </c>
      <c r="C128" s="1">
        <v>0.0</v>
      </c>
      <c r="D128" s="1">
        <v>0.0</v>
      </c>
      <c r="E128" s="1">
        <v>0.0</v>
      </c>
      <c r="F128" s="1">
        <v>0.0</v>
      </c>
      <c r="G128" s="1">
        <v>247500.0</v>
      </c>
    </row>
    <row r="129">
      <c r="A129" s="2">
        <v>45653.0</v>
      </c>
      <c r="B129" s="1">
        <v>225600.0</v>
      </c>
      <c r="C129" s="1">
        <v>0.0</v>
      </c>
      <c r="D129" s="1">
        <v>0.0</v>
      </c>
      <c r="E129" s="1">
        <v>0.0</v>
      </c>
      <c r="F129" s="1">
        <v>0.0</v>
      </c>
      <c r="G129" s="1">
        <v>225600.0</v>
      </c>
    </row>
    <row r="130">
      <c r="A130" s="2">
        <v>45654.0</v>
      </c>
      <c r="B130" s="1">
        <v>218700.0</v>
      </c>
      <c r="C130" s="1">
        <v>0.0</v>
      </c>
      <c r="D130" s="1">
        <v>0.0</v>
      </c>
      <c r="E130" s="1">
        <v>0.0</v>
      </c>
      <c r="F130" s="1">
        <v>0.0</v>
      </c>
      <c r="G130" s="1">
        <v>218700.0</v>
      </c>
    </row>
    <row r="131">
      <c r="A131" s="2">
        <v>45655.0</v>
      </c>
      <c r="B131" s="1">
        <v>206400.0</v>
      </c>
      <c r="C131" s="1">
        <v>0.0</v>
      </c>
      <c r="D131" s="1">
        <v>0.0</v>
      </c>
      <c r="E131" s="1">
        <v>0.0</v>
      </c>
      <c r="F131" s="1">
        <v>0.0</v>
      </c>
      <c r="G131" s="1">
        <v>206400.0</v>
      </c>
    </row>
    <row r="132">
      <c r="A132" s="2">
        <v>45656.0</v>
      </c>
      <c r="B132" s="1">
        <v>166700.0</v>
      </c>
      <c r="C132" s="1">
        <v>0.0</v>
      </c>
      <c r="D132" s="1">
        <v>0.0</v>
      </c>
      <c r="E132" s="1">
        <v>0.0</v>
      </c>
      <c r="F132" s="1">
        <v>0.0</v>
      </c>
      <c r="G132" s="1">
        <v>166700.0</v>
      </c>
    </row>
    <row r="133">
      <c r="A133" s="2">
        <v>45657.0</v>
      </c>
      <c r="B133" s="1">
        <v>239300.0</v>
      </c>
      <c r="C133" s="1">
        <v>0.0</v>
      </c>
      <c r="D133" s="1">
        <v>0.0</v>
      </c>
      <c r="E133" s="1">
        <v>0.0</v>
      </c>
      <c r="F133" s="1">
        <v>0.0</v>
      </c>
      <c r="G133" s="1">
        <v>239300.0</v>
      </c>
    </row>
    <row r="134">
      <c r="A134" s="2">
        <v>45658.0</v>
      </c>
      <c r="B134" s="1">
        <v>231500.0</v>
      </c>
      <c r="C134" s="1">
        <v>0.0</v>
      </c>
      <c r="D134" s="1">
        <v>0.0</v>
      </c>
      <c r="E134" s="1">
        <v>0.0</v>
      </c>
      <c r="F134" s="1">
        <v>0.0</v>
      </c>
      <c r="G134" s="1">
        <v>231500.0</v>
      </c>
    </row>
    <row r="135">
      <c r="A135" s="2">
        <v>45659.0</v>
      </c>
      <c r="B135" s="1">
        <v>103600.0</v>
      </c>
      <c r="C135" s="1">
        <v>0.0</v>
      </c>
      <c r="D135" s="1">
        <v>0.0</v>
      </c>
      <c r="E135" s="1">
        <v>0.0</v>
      </c>
      <c r="F135" s="1">
        <v>0.0</v>
      </c>
      <c r="G135" s="1">
        <v>103600.0</v>
      </c>
    </row>
    <row r="136">
      <c r="A136" s="2">
        <v>45660.0</v>
      </c>
      <c r="B136" s="1">
        <v>103800.0</v>
      </c>
      <c r="C136" s="1">
        <v>0.0</v>
      </c>
      <c r="D136" s="1">
        <v>0.0</v>
      </c>
      <c r="E136" s="1">
        <v>0.0</v>
      </c>
      <c r="F136" s="1">
        <v>0.0</v>
      </c>
      <c r="G136" s="1">
        <v>103800.0</v>
      </c>
    </row>
    <row r="137">
      <c r="A137" s="2">
        <v>45661.0</v>
      </c>
      <c r="B137" s="1">
        <v>214000.0</v>
      </c>
      <c r="C137" s="1">
        <v>0.0</v>
      </c>
      <c r="D137" s="1">
        <v>0.0</v>
      </c>
      <c r="E137" s="1">
        <v>0.0</v>
      </c>
      <c r="F137" s="1">
        <v>0.0</v>
      </c>
      <c r="G137" s="1">
        <v>214000.0</v>
      </c>
    </row>
    <row r="138">
      <c r="A138" s="2">
        <v>45662.0</v>
      </c>
      <c r="B138" s="1">
        <v>101500.0</v>
      </c>
      <c r="C138" s="1">
        <v>0.0</v>
      </c>
      <c r="D138" s="1">
        <v>0.0</v>
      </c>
      <c r="E138" s="1">
        <v>0.0</v>
      </c>
      <c r="F138" s="1">
        <v>0.0</v>
      </c>
      <c r="G138" s="1">
        <v>101500.0</v>
      </c>
    </row>
    <row r="139">
      <c r="A139" s="2">
        <v>45663.0</v>
      </c>
      <c r="B139" s="1">
        <v>116100.0</v>
      </c>
      <c r="C139" s="1">
        <v>0.0</v>
      </c>
      <c r="D139" s="1">
        <v>0.0</v>
      </c>
      <c r="E139" s="1">
        <v>0.0</v>
      </c>
      <c r="F139" s="1">
        <v>0.0</v>
      </c>
      <c r="G139" s="1">
        <v>116100.0</v>
      </c>
    </row>
    <row r="140">
      <c r="A140" s="2">
        <v>45664.0</v>
      </c>
      <c r="B140" s="1">
        <v>116620.0</v>
      </c>
      <c r="C140" s="1">
        <v>0.0</v>
      </c>
      <c r="D140" s="1">
        <v>0.0</v>
      </c>
      <c r="E140" s="1">
        <v>0.0</v>
      </c>
      <c r="F140" s="1">
        <v>0.0</v>
      </c>
      <c r="G140" s="1">
        <v>116620.0</v>
      </c>
    </row>
    <row r="141">
      <c r="A141" s="2">
        <v>45665.0</v>
      </c>
      <c r="B141" s="1">
        <v>9800.0</v>
      </c>
      <c r="C141" s="1">
        <v>0.0</v>
      </c>
      <c r="D141" s="1">
        <v>0.0</v>
      </c>
      <c r="E141" s="1">
        <v>0.0</v>
      </c>
      <c r="F141" s="1">
        <v>0.0</v>
      </c>
      <c r="G141" s="1">
        <v>9800.0</v>
      </c>
    </row>
    <row r="142">
      <c r="A142" s="2">
        <v>45666.0</v>
      </c>
      <c r="B142" s="1">
        <v>168600.0</v>
      </c>
      <c r="C142" s="1">
        <v>0.0</v>
      </c>
      <c r="D142" s="1">
        <v>0.0</v>
      </c>
      <c r="E142" s="1">
        <v>0.0</v>
      </c>
      <c r="F142" s="1">
        <v>0.0</v>
      </c>
      <c r="G142" s="1">
        <v>168600.0</v>
      </c>
    </row>
    <row r="143">
      <c r="A143" s="2">
        <v>45667.0</v>
      </c>
      <c r="B143" s="1">
        <v>187900.0</v>
      </c>
      <c r="C143" s="1">
        <v>0.0</v>
      </c>
      <c r="D143" s="1">
        <v>0.0</v>
      </c>
      <c r="E143" s="1">
        <v>0.0</v>
      </c>
      <c r="F143" s="1">
        <v>0.0</v>
      </c>
      <c r="G143" s="1">
        <v>187900.0</v>
      </c>
    </row>
    <row r="144">
      <c r="A144" s="2">
        <v>45668.0</v>
      </c>
      <c r="B144" s="1">
        <v>83000.0</v>
      </c>
      <c r="C144" s="1">
        <v>0.0</v>
      </c>
      <c r="D144" s="1">
        <v>0.0</v>
      </c>
      <c r="E144" s="1">
        <v>0.0</v>
      </c>
      <c r="F144" s="1">
        <v>0.0</v>
      </c>
      <c r="G144" s="1">
        <v>83000.0</v>
      </c>
    </row>
    <row r="145">
      <c r="A145" s="2">
        <v>45669.0</v>
      </c>
      <c r="B145" s="1">
        <v>66400.0</v>
      </c>
      <c r="C145" s="1">
        <v>0.0</v>
      </c>
      <c r="D145" s="1">
        <v>0.0</v>
      </c>
      <c r="E145" s="1">
        <v>0.0</v>
      </c>
      <c r="F145" s="1">
        <v>0.0</v>
      </c>
      <c r="G145" s="1">
        <v>66400.0</v>
      </c>
    </row>
    <row r="146">
      <c r="A146" s="2">
        <v>45670.0</v>
      </c>
      <c r="B146" s="1">
        <v>95700.0</v>
      </c>
      <c r="C146" s="1">
        <v>0.0</v>
      </c>
      <c r="D146" s="1">
        <v>0.0</v>
      </c>
      <c r="E146" s="1">
        <v>0.0</v>
      </c>
      <c r="F146" s="1">
        <v>0.0</v>
      </c>
      <c r="G146" s="1">
        <v>95700.0</v>
      </c>
    </row>
    <row r="147">
      <c r="A147" s="2">
        <v>45671.0</v>
      </c>
      <c r="B147" s="1">
        <v>114900.0</v>
      </c>
      <c r="C147" s="1">
        <v>0.0</v>
      </c>
      <c r="D147" s="1">
        <v>0.0</v>
      </c>
      <c r="E147" s="1">
        <v>0.0</v>
      </c>
      <c r="F147" s="1">
        <v>0.0</v>
      </c>
      <c r="G147" s="1">
        <v>114900.0</v>
      </c>
    </row>
    <row r="148">
      <c r="A148" s="2">
        <v>45672.0</v>
      </c>
      <c r="B148" s="1">
        <v>45700.0</v>
      </c>
      <c r="C148" s="1">
        <v>0.0</v>
      </c>
      <c r="D148" s="1">
        <v>0.0</v>
      </c>
      <c r="E148" s="1">
        <v>0.0</v>
      </c>
      <c r="F148" s="1">
        <v>0.0</v>
      </c>
      <c r="G148" s="1">
        <v>45700.0</v>
      </c>
    </row>
    <row r="149">
      <c r="A149" s="2">
        <v>45673.0</v>
      </c>
      <c r="B149" s="1">
        <v>143400.0</v>
      </c>
      <c r="C149" s="1">
        <v>0.0</v>
      </c>
      <c r="D149" s="1">
        <v>0.0</v>
      </c>
      <c r="E149" s="1">
        <v>0.0</v>
      </c>
      <c r="F149" s="1">
        <v>0.0</v>
      </c>
      <c r="G149" s="1">
        <v>143400.0</v>
      </c>
    </row>
    <row r="150">
      <c r="A150" s="2">
        <v>45674.0</v>
      </c>
      <c r="B150" s="1">
        <v>234100.0</v>
      </c>
      <c r="C150" s="1">
        <v>0.0</v>
      </c>
      <c r="D150" s="1">
        <v>0.0</v>
      </c>
      <c r="E150" s="1">
        <v>0.0</v>
      </c>
      <c r="F150" s="1">
        <v>0.0</v>
      </c>
      <c r="G150" s="1">
        <v>234100.0</v>
      </c>
    </row>
    <row r="151">
      <c r="A151" s="2">
        <v>45675.0</v>
      </c>
      <c r="B151" s="1">
        <v>181200.0</v>
      </c>
      <c r="C151" s="1">
        <v>0.0</v>
      </c>
      <c r="D151" s="1">
        <v>0.0</v>
      </c>
      <c r="E151" s="1">
        <v>0.0</v>
      </c>
      <c r="F151" s="1">
        <v>0.0</v>
      </c>
      <c r="G151" s="1">
        <v>181200.0</v>
      </c>
    </row>
    <row r="152">
      <c r="A152" s="2">
        <v>45676.0</v>
      </c>
      <c r="B152" s="1">
        <v>95800.0</v>
      </c>
      <c r="C152" s="1">
        <v>0.0</v>
      </c>
      <c r="D152" s="1">
        <v>0.0</v>
      </c>
      <c r="E152" s="1">
        <v>0.0</v>
      </c>
      <c r="F152" s="1">
        <v>0.0</v>
      </c>
      <c r="G152" s="1">
        <v>95800.0</v>
      </c>
    </row>
    <row r="153">
      <c r="A153" s="2">
        <v>45677.0</v>
      </c>
      <c r="B153" s="1">
        <v>122200.0</v>
      </c>
      <c r="C153" s="1">
        <v>0.0</v>
      </c>
      <c r="D153" s="1">
        <v>0.0</v>
      </c>
      <c r="E153" s="1">
        <v>0.0</v>
      </c>
      <c r="F153" s="1">
        <v>0.0</v>
      </c>
      <c r="G153" s="1">
        <v>122200.0</v>
      </c>
    </row>
    <row r="154">
      <c r="A154" s="2">
        <v>45678.0</v>
      </c>
      <c r="B154" s="1">
        <v>95300.0</v>
      </c>
      <c r="C154" s="1">
        <v>0.0</v>
      </c>
      <c r="D154" s="1">
        <v>0.0</v>
      </c>
      <c r="E154" s="1">
        <v>0.0</v>
      </c>
      <c r="F154" s="1">
        <v>0.0</v>
      </c>
      <c r="G154" s="1">
        <v>95300.0</v>
      </c>
    </row>
    <row r="155">
      <c r="A155" s="2">
        <v>45679.0</v>
      </c>
      <c r="B155" s="1">
        <v>171700.0</v>
      </c>
      <c r="C155" s="1">
        <v>0.0</v>
      </c>
      <c r="D155" s="1">
        <v>0.0</v>
      </c>
      <c r="E155" s="1">
        <v>0.0</v>
      </c>
      <c r="F155" s="1">
        <v>0.0</v>
      </c>
      <c r="G155" s="1">
        <v>171700.0</v>
      </c>
    </row>
    <row r="156">
      <c r="A156" s="2">
        <v>45680.0</v>
      </c>
      <c r="B156" s="1">
        <v>144300.0</v>
      </c>
      <c r="C156" s="1">
        <v>0.0</v>
      </c>
      <c r="D156" s="1">
        <v>0.0</v>
      </c>
      <c r="E156" s="1">
        <v>0.0</v>
      </c>
      <c r="F156" s="1">
        <v>0.0</v>
      </c>
      <c r="G156" s="1">
        <v>144300.0</v>
      </c>
    </row>
    <row r="157">
      <c r="A157" s="2">
        <v>45681.0</v>
      </c>
      <c r="B157" s="1">
        <v>134600.0</v>
      </c>
      <c r="C157" s="1">
        <v>0.0</v>
      </c>
      <c r="D157" s="1">
        <v>0.0</v>
      </c>
      <c r="E157" s="1">
        <v>0.0</v>
      </c>
      <c r="F157" s="1">
        <v>0.0</v>
      </c>
      <c r="G157" s="1">
        <v>134600.0</v>
      </c>
    </row>
    <row r="158">
      <c r="A158" s="2">
        <v>45682.0</v>
      </c>
      <c r="B158" s="1">
        <v>173300.0</v>
      </c>
      <c r="C158" s="1">
        <v>0.0</v>
      </c>
      <c r="D158" s="1">
        <v>0.0</v>
      </c>
      <c r="E158" s="1">
        <v>0.0</v>
      </c>
      <c r="F158" s="1">
        <v>0.0</v>
      </c>
      <c r="G158" s="1">
        <v>173300.0</v>
      </c>
    </row>
    <row r="159">
      <c r="A159" s="2">
        <v>45683.0</v>
      </c>
      <c r="B159" s="1">
        <v>96400.0</v>
      </c>
      <c r="C159" s="1">
        <v>0.0</v>
      </c>
      <c r="D159" s="1">
        <v>0.0</v>
      </c>
      <c r="E159" s="1">
        <v>0.0</v>
      </c>
      <c r="F159" s="1">
        <v>0.0</v>
      </c>
      <c r="G159" s="1">
        <v>96400.0</v>
      </c>
    </row>
    <row r="160">
      <c r="A160" s="2">
        <v>45684.0</v>
      </c>
      <c r="B160" s="1">
        <v>129800.0</v>
      </c>
      <c r="C160" s="1">
        <v>0.0</v>
      </c>
      <c r="D160" s="1">
        <v>0.0</v>
      </c>
      <c r="E160" s="1">
        <v>0.0</v>
      </c>
      <c r="F160" s="1">
        <v>0.0</v>
      </c>
      <c r="G160" s="1">
        <v>129800.0</v>
      </c>
    </row>
    <row r="161">
      <c r="A161" s="2">
        <v>45685.0</v>
      </c>
      <c r="B161" s="1">
        <v>99100.0</v>
      </c>
      <c r="C161" s="1">
        <v>0.0</v>
      </c>
      <c r="D161" s="1">
        <v>0.0</v>
      </c>
      <c r="E161" s="1">
        <v>0.0</v>
      </c>
      <c r="F161" s="1">
        <v>0.0</v>
      </c>
      <c r="G161" s="1">
        <v>99100.0</v>
      </c>
    </row>
    <row r="162">
      <c r="A162" s="2">
        <v>45686.0</v>
      </c>
      <c r="B162" s="1">
        <v>24800.0</v>
      </c>
      <c r="C162" s="1">
        <v>0.0</v>
      </c>
      <c r="D162" s="1">
        <v>0.0</v>
      </c>
      <c r="E162" s="1">
        <v>0.0</v>
      </c>
      <c r="F162" s="1">
        <v>0.0</v>
      </c>
      <c r="G162" s="1">
        <v>24800.0</v>
      </c>
    </row>
    <row r="163">
      <c r="A163" s="2">
        <v>45687.0</v>
      </c>
      <c r="B163" s="1">
        <v>142400.0</v>
      </c>
      <c r="C163" s="1">
        <v>0.0</v>
      </c>
      <c r="D163" s="1">
        <v>0.0</v>
      </c>
      <c r="E163" s="1">
        <v>0.0</v>
      </c>
      <c r="F163" s="1">
        <v>0.0</v>
      </c>
      <c r="G163" s="1">
        <v>142400.0</v>
      </c>
    </row>
    <row r="164">
      <c r="A164" s="2">
        <v>45688.0</v>
      </c>
      <c r="B164" s="1">
        <v>190500.0</v>
      </c>
      <c r="C164" s="1">
        <v>0.0</v>
      </c>
      <c r="D164" s="1">
        <v>0.0</v>
      </c>
      <c r="E164" s="1">
        <v>0.0</v>
      </c>
      <c r="F164" s="1">
        <v>0.0</v>
      </c>
      <c r="G164" s="1">
        <v>190500.0</v>
      </c>
    </row>
    <row r="165">
      <c r="A165" s="2">
        <v>45689.0</v>
      </c>
      <c r="B165" s="1">
        <v>117000.0</v>
      </c>
      <c r="C165" s="1">
        <v>0.0</v>
      </c>
      <c r="D165" s="1">
        <v>0.0</v>
      </c>
      <c r="E165" s="1">
        <v>0.0</v>
      </c>
      <c r="F165" s="1">
        <v>0.0</v>
      </c>
      <c r="G165" s="1">
        <v>117000.0</v>
      </c>
    </row>
    <row r="166">
      <c r="A166" s="2">
        <v>45690.0</v>
      </c>
      <c r="B166" s="1">
        <v>45800.0</v>
      </c>
      <c r="C166" s="1">
        <v>0.0</v>
      </c>
      <c r="D166" s="1">
        <v>0.0</v>
      </c>
      <c r="E166" s="1">
        <v>0.0</v>
      </c>
      <c r="F166" s="1">
        <v>0.0</v>
      </c>
      <c r="G166" s="1">
        <v>45800.0</v>
      </c>
    </row>
    <row r="167">
      <c r="A167" s="2">
        <v>45691.0</v>
      </c>
      <c r="B167" s="1">
        <v>79400.0</v>
      </c>
      <c r="C167" s="1">
        <v>0.0</v>
      </c>
      <c r="D167" s="1">
        <v>0.0</v>
      </c>
      <c r="E167" s="1">
        <v>0.0</v>
      </c>
      <c r="F167" s="1">
        <v>0.0</v>
      </c>
      <c r="G167" s="1">
        <v>79400.0</v>
      </c>
    </row>
    <row r="168">
      <c r="A168" s="2">
        <v>45692.0</v>
      </c>
      <c r="B168" s="1">
        <v>121600.0</v>
      </c>
      <c r="C168" s="1">
        <v>0.0</v>
      </c>
      <c r="D168" s="1">
        <v>0.0</v>
      </c>
      <c r="E168" s="1">
        <v>0.0</v>
      </c>
      <c r="F168" s="1">
        <v>0.0</v>
      </c>
      <c r="G168" s="1">
        <v>121600.0</v>
      </c>
    </row>
    <row r="169">
      <c r="A169" s="2">
        <v>45693.0</v>
      </c>
      <c r="B169" s="1">
        <v>94100.0</v>
      </c>
      <c r="C169" s="1">
        <v>0.0</v>
      </c>
      <c r="D169" s="1">
        <v>0.0</v>
      </c>
      <c r="E169" s="1">
        <v>0.0</v>
      </c>
      <c r="F169" s="1">
        <v>0.0</v>
      </c>
      <c r="G169" s="1">
        <v>94100.0</v>
      </c>
    </row>
    <row r="170">
      <c r="A170" s="2">
        <v>45694.0</v>
      </c>
      <c r="B170" s="1">
        <v>118900.0</v>
      </c>
      <c r="C170" s="1">
        <v>0.0</v>
      </c>
      <c r="D170" s="1">
        <v>0.0</v>
      </c>
      <c r="E170" s="1">
        <v>0.0</v>
      </c>
      <c r="F170" s="1">
        <v>0.0</v>
      </c>
      <c r="G170" s="1">
        <v>118900.0</v>
      </c>
    </row>
    <row r="171">
      <c r="A171" s="2">
        <v>45695.0</v>
      </c>
      <c r="B171" s="1">
        <v>162200.0</v>
      </c>
      <c r="C171" s="1">
        <v>0.0</v>
      </c>
      <c r="D171" s="1">
        <v>0.0</v>
      </c>
      <c r="E171" s="1">
        <v>0.0</v>
      </c>
      <c r="F171" s="1">
        <v>0.0</v>
      </c>
      <c r="G171" s="1">
        <v>162200.0</v>
      </c>
    </row>
    <row r="172">
      <c r="A172" s="2">
        <v>45696.0</v>
      </c>
      <c r="B172" s="1">
        <v>112400.0</v>
      </c>
      <c r="C172" s="1">
        <v>0.0</v>
      </c>
      <c r="D172" s="1">
        <v>0.0</v>
      </c>
      <c r="E172" s="1">
        <v>0.0</v>
      </c>
      <c r="F172" s="1">
        <v>0.0</v>
      </c>
      <c r="G172" s="1">
        <v>112400.0</v>
      </c>
    </row>
    <row r="173">
      <c r="A173" s="2">
        <v>45697.0</v>
      </c>
      <c r="B173" s="1">
        <v>74400.0</v>
      </c>
      <c r="C173" s="1">
        <v>0.0</v>
      </c>
      <c r="D173" s="1">
        <v>0.0</v>
      </c>
      <c r="E173" s="1">
        <v>0.0</v>
      </c>
      <c r="F173" s="1">
        <v>0.0</v>
      </c>
      <c r="G173" s="1">
        <v>74400.0</v>
      </c>
    </row>
    <row r="174">
      <c r="A174" s="2">
        <v>45698.0</v>
      </c>
      <c r="B174" s="1">
        <v>99700.0</v>
      </c>
      <c r="C174" s="1">
        <v>0.0</v>
      </c>
      <c r="D174" s="1">
        <v>0.0</v>
      </c>
      <c r="E174" s="1">
        <v>0.0</v>
      </c>
      <c r="F174" s="1">
        <v>0.0</v>
      </c>
      <c r="G174" s="1">
        <v>99700.0</v>
      </c>
    </row>
    <row r="175">
      <c r="A175" s="2">
        <v>45699.0</v>
      </c>
      <c r="B175" s="1">
        <v>127000.0</v>
      </c>
      <c r="C175" s="1">
        <v>0.0</v>
      </c>
      <c r="D175" s="1">
        <v>0.0</v>
      </c>
      <c r="E175" s="1">
        <v>0.0</v>
      </c>
      <c r="F175" s="1">
        <v>0.0</v>
      </c>
      <c r="G175" s="1">
        <v>127000.0</v>
      </c>
    </row>
    <row r="176">
      <c r="A176" s="2">
        <v>45700.0</v>
      </c>
      <c r="B176" s="1">
        <v>40500.0</v>
      </c>
      <c r="C176" s="1">
        <v>0.0</v>
      </c>
      <c r="D176" s="1">
        <v>0.0</v>
      </c>
      <c r="E176" s="1">
        <v>0.0</v>
      </c>
      <c r="F176" s="1">
        <v>0.0</v>
      </c>
      <c r="G176" s="1">
        <v>40500.0</v>
      </c>
    </row>
    <row r="177">
      <c r="A177" s="2">
        <v>45701.0</v>
      </c>
      <c r="B177" s="1">
        <v>102600.0</v>
      </c>
      <c r="C177" s="1">
        <v>0.0</v>
      </c>
      <c r="D177" s="1">
        <v>0.0</v>
      </c>
      <c r="E177" s="1">
        <v>0.0</v>
      </c>
      <c r="F177" s="1">
        <v>0.0</v>
      </c>
      <c r="G177" s="1">
        <v>102600.0</v>
      </c>
    </row>
    <row r="178">
      <c r="A178" s="2">
        <v>45702.0</v>
      </c>
      <c r="B178" s="1">
        <v>141800.0</v>
      </c>
      <c r="C178" s="1">
        <v>0.0</v>
      </c>
      <c r="D178" s="1">
        <v>0.0</v>
      </c>
      <c r="E178" s="1">
        <v>0.0</v>
      </c>
      <c r="F178" s="1">
        <v>0.0</v>
      </c>
      <c r="G178" s="1">
        <v>141800.0</v>
      </c>
    </row>
    <row r="179">
      <c r="A179" s="2">
        <v>45703.0</v>
      </c>
      <c r="B179" s="1">
        <v>187300.0</v>
      </c>
      <c r="C179" s="1">
        <v>0.0</v>
      </c>
      <c r="D179" s="1">
        <v>0.0</v>
      </c>
      <c r="E179" s="1">
        <v>0.0</v>
      </c>
      <c r="F179" s="1">
        <v>0.0</v>
      </c>
      <c r="G179" s="1">
        <v>187300.0</v>
      </c>
    </row>
    <row r="180">
      <c r="A180" s="2">
        <v>45704.0</v>
      </c>
      <c r="B180" s="1">
        <v>94400.0</v>
      </c>
      <c r="C180" s="1">
        <v>0.0</v>
      </c>
      <c r="D180" s="1">
        <v>0.0</v>
      </c>
      <c r="E180" s="1">
        <v>0.0</v>
      </c>
      <c r="F180" s="1">
        <v>0.0</v>
      </c>
      <c r="G180" s="1">
        <v>94400.0</v>
      </c>
    </row>
    <row r="181">
      <c r="A181" s="2">
        <v>45705.0</v>
      </c>
      <c r="B181" s="1">
        <v>137000.0</v>
      </c>
      <c r="C181" s="1">
        <v>0.0</v>
      </c>
      <c r="D181" s="1">
        <v>0.0</v>
      </c>
      <c r="E181" s="1">
        <v>0.0</v>
      </c>
      <c r="F181" s="1">
        <v>0.0</v>
      </c>
      <c r="G181" s="1">
        <v>137000.0</v>
      </c>
    </row>
    <row r="182">
      <c r="A182" s="2">
        <v>45706.0</v>
      </c>
      <c r="B182" s="1">
        <v>39400.0</v>
      </c>
      <c r="C182" s="1">
        <v>0.0</v>
      </c>
      <c r="D182" s="1">
        <v>0.0</v>
      </c>
      <c r="E182" s="1">
        <v>0.0</v>
      </c>
      <c r="F182" s="1">
        <v>0.0</v>
      </c>
      <c r="G182" s="1">
        <v>39400.0</v>
      </c>
    </row>
    <row r="183">
      <c r="A183" s="2">
        <v>45707.0</v>
      </c>
      <c r="B183" s="1">
        <v>32600.0</v>
      </c>
      <c r="C183" s="1">
        <v>0.0</v>
      </c>
      <c r="D183" s="1">
        <v>0.0</v>
      </c>
      <c r="E183" s="1">
        <v>0.0</v>
      </c>
      <c r="F183" s="1">
        <v>0.0</v>
      </c>
      <c r="G183" s="1">
        <v>32600.0</v>
      </c>
    </row>
    <row r="184">
      <c r="A184" s="2">
        <v>45708.0</v>
      </c>
      <c r="B184" s="1">
        <v>98400.0</v>
      </c>
      <c r="C184" s="1">
        <v>0.0</v>
      </c>
      <c r="D184" s="1">
        <v>0.0</v>
      </c>
      <c r="E184" s="1">
        <v>0.0</v>
      </c>
      <c r="F184" s="1">
        <v>0.0</v>
      </c>
      <c r="G184" s="1">
        <v>98400.0</v>
      </c>
    </row>
    <row r="185">
      <c r="A185" s="2">
        <v>45709.0</v>
      </c>
      <c r="B185" s="1">
        <v>165600.0</v>
      </c>
      <c r="C185" s="1">
        <v>0.0</v>
      </c>
      <c r="D185" s="1">
        <v>0.0</v>
      </c>
      <c r="E185" s="1">
        <v>0.0</v>
      </c>
      <c r="F185" s="1">
        <v>0.0</v>
      </c>
      <c r="G185" s="1">
        <v>165600.0</v>
      </c>
    </row>
    <row r="186">
      <c r="A186" s="2">
        <v>45710.0</v>
      </c>
      <c r="B186" s="1">
        <v>199900.0</v>
      </c>
      <c r="C186" s="1">
        <v>0.0</v>
      </c>
      <c r="D186" s="1">
        <v>0.0</v>
      </c>
      <c r="E186" s="1">
        <v>0.0</v>
      </c>
      <c r="F186" s="1">
        <v>0.0</v>
      </c>
      <c r="G186" s="1">
        <v>199900.0</v>
      </c>
    </row>
    <row r="187">
      <c r="A187" s="2">
        <v>45711.0</v>
      </c>
      <c r="B187" s="1">
        <v>46600.0</v>
      </c>
      <c r="C187" s="1">
        <v>0.0</v>
      </c>
      <c r="D187" s="1">
        <v>0.0</v>
      </c>
      <c r="E187" s="1">
        <v>0.0</v>
      </c>
      <c r="F187" s="1">
        <v>0.0</v>
      </c>
      <c r="G187" s="1">
        <v>46600.0</v>
      </c>
    </row>
    <row r="188">
      <c r="A188" s="2">
        <v>45712.0</v>
      </c>
      <c r="B188" s="1">
        <v>52000.0</v>
      </c>
      <c r="C188" s="1">
        <v>0.0</v>
      </c>
      <c r="D188" s="1">
        <v>0.0</v>
      </c>
      <c r="E188" s="1">
        <v>0.0</v>
      </c>
      <c r="F188" s="1">
        <v>0.0</v>
      </c>
      <c r="G188" s="1">
        <v>52000.0</v>
      </c>
    </row>
    <row r="189">
      <c r="A189" s="2">
        <v>45713.0</v>
      </c>
      <c r="B189" s="1">
        <v>119100.0</v>
      </c>
      <c r="C189" s="1">
        <v>0.0</v>
      </c>
      <c r="D189" s="1">
        <v>0.0</v>
      </c>
      <c r="E189" s="1">
        <v>0.0</v>
      </c>
      <c r="F189" s="1">
        <v>0.0</v>
      </c>
      <c r="G189" s="1">
        <v>119100.0</v>
      </c>
    </row>
    <row r="190">
      <c r="A190" s="2">
        <v>45714.0</v>
      </c>
      <c r="B190" s="1">
        <v>122200.0</v>
      </c>
      <c r="C190" s="1">
        <v>0.0</v>
      </c>
      <c r="D190" s="1">
        <v>0.0</v>
      </c>
      <c r="E190" s="1">
        <v>0.0</v>
      </c>
      <c r="F190" s="1">
        <v>0.0</v>
      </c>
      <c r="G190" s="1">
        <v>122200.0</v>
      </c>
    </row>
    <row r="191">
      <c r="A191" s="2">
        <v>45715.0</v>
      </c>
      <c r="B191" s="1">
        <v>151600.0</v>
      </c>
      <c r="C191" s="1">
        <v>0.0</v>
      </c>
      <c r="D191" s="1">
        <v>0.0</v>
      </c>
      <c r="E191" s="1">
        <v>0.0</v>
      </c>
      <c r="F191" s="1">
        <v>0.0</v>
      </c>
      <c r="G191" s="1">
        <v>151600.0</v>
      </c>
    </row>
    <row r="192">
      <c r="A192" s="2">
        <v>45716.0</v>
      </c>
      <c r="B192" s="1">
        <v>223800.0</v>
      </c>
      <c r="C192" s="1">
        <v>0.0</v>
      </c>
      <c r="D192" s="1">
        <v>0.0</v>
      </c>
      <c r="E192" s="1">
        <v>0.0</v>
      </c>
      <c r="F192" s="1">
        <v>0.0</v>
      </c>
      <c r="G192" s="1">
        <v>223800.0</v>
      </c>
    </row>
    <row r="193">
      <c r="A193" s="2">
        <v>45717.0</v>
      </c>
      <c r="B193" s="1">
        <v>169200.0</v>
      </c>
      <c r="C193" s="1">
        <v>0.0</v>
      </c>
      <c r="D193" s="1">
        <v>0.0</v>
      </c>
      <c r="E193" s="1">
        <v>0.0</v>
      </c>
      <c r="F193" s="1">
        <v>0.0</v>
      </c>
      <c r="G193" s="1">
        <v>169200.0</v>
      </c>
    </row>
    <row r="194">
      <c r="A194" s="2">
        <v>45718.0</v>
      </c>
      <c r="B194" s="1">
        <v>107800.0</v>
      </c>
      <c r="C194" s="1">
        <v>0.0</v>
      </c>
      <c r="D194" s="1">
        <v>0.0</v>
      </c>
      <c r="E194" s="1">
        <v>0.0</v>
      </c>
      <c r="F194" s="1">
        <v>0.0</v>
      </c>
      <c r="G194" s="1">
        <v>107800.0</v>
      </c>
    </row>
    <row r="195">
      <c r="A195" s="2">
        <v>45719.0</v>
      </c>
      <c r="B195" s="1">
        <v>170800.0</v>
      </c>
      <c r="C195" s="1">
        <v>0.0</v>
      </c>
      <c r="D195" s="1">
        <v>0.0</v>
      </c>
      <c r="E195" s="1">
        <v>0.0</v>
      </c>
      <c r="F195" s="1">
        <v>0.0</v>
      </c>
      <c r="G195" s="1">
        <v>170800.0</v>
      </c>
    </row>
    <row r="196">
      <c r="A196" s="2">
        <v>45720.0</v>
      </c>
      <c r="B196" s="1">
        <v>126600.0</v>
      </c>
      <c r="C196" s="1">
        <v>0.0</v>
      </c>
      <c r="D196" s="1">
        <v>0.0</v>
      </c>
      <c r="E196" s="1">
        <v>0.0</v>
      </c>
      <c r="F196" s="1">
        <v>0.0</v>
      </c>
      <c r="G196" s="1">
        <v>126600.0</v>
      </c>
    </row>
    <row r="197">
      <c r="A197" s="2">
        <v>45721.0</v>
      </c>
      <c r="B197" s="1">
        <v>110000.0</v>
      </c>
      <c r="C197" s="1">
        <v>0.0</v>
      </c>
      <c r="D197" s="1">
        <v>0.0</v>
      </c>
      <c r="E197" s="1">
        <v>0.0</v>
      </c>
      <c r="F197" s="1">
        <v>0.0</v>
      </c>
      <c r="G197" s="1">
        <v>110000.0</v>
      </c>
    </row>
    <row r="198">
      <c r="A198" s="2">
        <v>45722.0</v>
      </c>
      <c r="B198" s="1">
        <v>195400.0</v>
      </c>
      <c r="C198" s="1">
        <v>0.0</v>
      </c>
      <c r="D198" s="1">
        <v>0.0</v>
      </c>
      <c r="E198" s="1">
        <v>0.0</v>
      </c>
      <c r="F198" s="1">
        <v>0.0</v>
      </c>
      <c r="G198" s="1">
        <v>195400.0</v>
      </c>
    </row>
    <row r="199">
      <c r="A199" s="2">
        <v>45723.0</v>
      </c>
      <c r="B199" s="1">
        <v>324800.0</v>
      </c>
      <c r="C199" s="1">
        <v>0.0</v>
      </c>
      <c r="D199" s="1">
        <v>0.0</v>
      </c>
      <c r="E199" s="1">
        <v>0.0</v>
      </c>
      <c r="F199" s="1">
        <v>0.0</v>
      </c>
      <c r="G199" s="1">
        <v>324800.0</v>
      </c>
    </row>
    <row r="200">
      <c r="A200" s="2">
        <v>45724.0</v>
      </c>
      <c r="B200" s="1">
        <v>189000.0</v>
      </c>
      <c r="C200" s="1">
        <v>0.0</v>
      </c>
      <c r="D200" s="1">
        <v>0.0</v>
      </c>
      <c r="E200" s="1">
        <v>0.0</v>
      </c>
      <c r="F200" s="1">
        <v>0.0</v>
      </c>
      <c r="G200" s="1">
        <v>189000.0</v>
      </c>
    </row>
    <row r="201">
      <c r="A201" s="2">
        <v>45725.0</v>
      </c>
      <c r="B201" s="1">
        <v>153700.0</v>
      </c>
      <c r="C201" s="1">
        <v>0.0</v>
      </c>
      <c r="D201" s="1">
        <v>0.0</v>
      </c>
      <c r="E201" s="1">
        <v>0.0</v>
      </c>
      <c r="F201" s="1">
        <v>0.0</v>
      </c>
      <c r="G201" s="1">
        <v>153700.0</v>
      </c>
    </row>
    <row r="202">
      <c r="A202" s="2">
        <v>45726.0</v>
      </c>
      <c r="B202" s="1">
        <v>153600.0</v>
      </c>
      <c r="C202" s="1">
        <v>0.0</v>
      </c>
      <c r="D202" s="1">
        <v>0.0</v>
      </c>
      <c r="E202" s="1">
        <v>0.0</v>
      </c>
      <c r="F202" s="1">
        <v>0.0</v>
      </c>
      <c r="G202" s="1">
        <v>153600.0</v>
      </c>
    </row>
    <row r="203">
      <c r="A203" s="2">
        <v>45727.0</v>
      </c>
      <c r="B203" s="1">
        <v>132600.0</v>
      </c>
      <c r="C203" s="1">
        <v>0.0</v>
      </c>
      <c r="D203" s="1">
        <v>0.0</v>
      </c>
      <c r="E203" s="1">
        <v>0.0</v>
      </c>
      <c r="F203" s="1">
        <v>0.0</v>
      </c>
      <c r="G203" s="1">
        <v>132600.0</v>
      </c>
    </row>
    <row r="204">
      <c r="A204" s="2">
        <v>45728.0</v>
      </c>
      <c r="B204" s="1">
        <v>235100.0</v>
      </c>
      <c r="C204" s="1">
        <v>0.0</v>
      </c>
      <c r="D204" s="1">
        <v>0.0</v>
      </c>
      <c r="E204" s="1">
        <v>0.0</v>
      </c>
      <c r="F204" s="1">
        <v>0.0</v>
      </c>
      <c r="G204" s="1">
        <v>235100.0</v>
      </c>
    </row>
    <row r="205">
      <c r="A205" s="2">
        <v>45729.0</v>
      </c>
      <c r="B205" s="1">
        <v>261200.0</v>
      </c>
      <c r="C205" s="1">
        <v>0.0</v>
      </c>
      <c r="D205" s="1">
        <v>0.0</v>
      </c>
      <c r="E205" s="1">
        <v>0.0</v>
      </c>
      <c r="F205" s="1">
        <v>0.0</v>
      </c>
      <c r="G205" s="1">
        <v>261200.0</v>
      </c>
    </row>
    <row r="206">
      <c r="A206" s="2">
        <v>45730.0</v>
      </c>
      <c r="B206" s="1">
        <v>207000.0</v>
      </c>
      <c r="C206" s="1">
        <v>0.0</v>
      </c>
      <c r="D206" s="1">
        <v>0.0</v>
      </c>
      <c r="E206" s="1">
        <v>0.0</v>
      </c>
      <c r="F206" s="1">
        <v>0.0</v>
      </c>
      <c r="G206" s="1">
        <v>207000.0</v>
      </c>
    </row>
    <row r="207">
      <c r="A207" s="2">
        <v>45731.0</v>
      </c>
      <c r="B207" s="1">
        <v>245700.0</v>
      </c>
      <c r="C207" s="1">
        <v>0.0</v>
      </c>
      <c r="D207" s="1">
        <v>0.0</v>
      </c>
      <c r="E207" s="1">
        <v>0.0</v>
      </c>
      <c r="F207" s="1">
        <v>0.0</v>
      </c>
      <c r="G207" s="1">
        <v>245700.0</v>
      </c>
    </row>
    <row r="208">
      <c r="A208" s="2">
        <v>45732.0</v>
      </c>
      <c r="B208" s="1">
        <v>115800.0</v>
      </c>
      <c r="C208" s="1">
        <v>0.0</v>
      </c>
      <c r="D208" s="1">
        <v>0.0</v>
      </c>
      <c r="E208" s="1">
        <v>0.0</v>
      </c>
      <c r="F208" s="1">
        <v>0.0</v>
      </c>
      <c r="G208" s="1">
        <v>115800.0</v>
      </c>
    </row>
    <row r="209">
      <c r="A209" s="2">
        <v>45733.0</v>
      </c>
      <c r="B209" s="1">
        <v>109800.0</v>
      </c>
      <c r="C209" s="1">
        <v>0.0</v>
      </c>
      <c r="D209" s="1">
        <v>0.0</v>
      </c>
      <c r="E209" s="1">
        <v>0.0</v>
      </c>
      <c r="F209" s="1">
        <v>0.0</v>
      </c>
      <c r="G209" s="1">
        <v>109800.0</v>
      </c>
    </row>
    <row r="210">
      <c r="A210" s="2">
        <v>45734.0</v>
      </c>
      <c r="B210" s="1">
        <v>149600.0</v>
      </c>
      <c r="C210" s="1">
        <v>0.0</v>
      </c>
      <c r="D210" s="1">
        <v>0.0</v>
      </c>
      <c r="E210" s="1">
        <v>0.0</v>
      </c>
      <c r="F210" s="1">
        <v>0.0</v>
      </c>
      <c r="G210" s="1">
        <v>149600.0</v>
      </c>
    </row>
    <row r="211">
      <c r="A211" s="2">
        <v>45735.0</v>
      </c>
      <c r="B211" s="1">
        <v>164000.0</v>
      </c>
      <c r="C211" s="1">
        <v>0.0</v>
      </c>
      <c r="D211" s="1">
        <v>0.0</v>
      </c>
      <c r="E211" s="1">
        <v>0.0</v>
      </c>
      <c r="F211" s="1">
        <v>0.0</v>
      </c>
      <c r="G211" s="1">
        <v>164000.0</v>
      </c>
    </row>
    <row r="212">
      <c r="A212" s="2">
        <v>45736.0</v>
      </c>
      <c r="B212" s="1">
        <v>264400.0</v>
      </c>
      <c r="C212" s="1">
        <v>0.0</v>
      </c>
      <c r="D212" s="1">
        <v>0.0</v>
      </c>
      <c r="E212" s="1">
        <v>0.0</v>
      </c>
      <c r="F212" s="1">
        <v>0.0</v>
      </c>
      <c r="G212" s="1">
        <v>264400.0</v>
      </c>
    </row>
    <row r="213">
      <c r="A213" s="2">
        <v>45737.0</v>
      </c>
      <c r="B213" s="1">
        <v>170400.0</v>
      </c>
      <c r="C213" s="1">
        <v>0.0</v>
      </c>
      <c r="D213" s="1">
        <v>0.0</v>
      </c>
      <c r="E213" s="1">
        <v>0.0</v>
      </c>
      <c r="F213" s="1">
        <v>0.0</v>
      </c>
      <c r="G213" s="1">
        <v>170400.0</v>
      </c>
    </row>
    <row r="214">
      <c r="A214" s="2">
        <v>45738.0</v>
      </c>
      <c r="B214" s="1">
        <v>209300.0</v>
      </c>
      <c r="C214" s="1">
        <v>0.0</v>
      </c>
      <c r="D214" s="1">
        <v>0.0</v>
      </c>
      <c r="E214" s="1">
        <v>0.0</v>
      </c>
      <c r="F214" s="1">
        <v>0.0</v>
      </c>
      <c r="G214" s="1">
        <v>209300.0</v>
      </c>
    </row>
    <row r="215">
      <c r="A215" s="2">
        <v>45739.0</v>
      </c>
      <c r="B215" s="1">
        <v>170300.0</v>
      </c>
      <c r="C215" s="1">
        <v>0.0</v>
      </c>
      <c r="D215" s="1">
        <v>0.0</v>
      </c>
      <c r="E215" s="1">
        <v>0.0</v>
      </c>
      <c r="F215" s="1">
        <v>0.0</v>
      </c>
      <c r="G215" s="1">
        <v>170300.0</v>
      </c>
    </row>
    <row r="216">
      <c r="A216" s="2">
        <v>45740.0</v>
      </c>
      <c r="B216" s="1">
        <v>264600.0</v>
      </c>
      <c r="C216" s="1">
        <v>0.0</v>
      </c>
      <c r="D216" s="1">
        <v>0.0</v>
      </c>
      <c r="E216" s="1">
        <v>0.0</v>
      </c>
      <c r="F216" s="1">
        <v>0.0</v>
      </c>
      <c r="G216" s="1">
        <v>264600.0</v>
      </c>
    </row>
    <row r="217">
      <c r="A217" s="2">
        <v>45741.0</v>
      </c>
      <c r="B217" s="1">
        <v>121800.0</v>
      </c>
      <c r="C217" s="1">
        <v>0.0</v>
      </c>
      <c r="D217" s="1">
        <v>0.0</v>
      </c>
      <c r="E217" s="1">
        <v>0.0</v>
      </c>
      <c r="F217" s="1">
        <v>0.0</v>
      </c>
      <c r="G217" s="1">
        <v>121800.0</v>
      </c>
    </row>
    <row r="218">
      <c r="A218" s="2">
        <v>45742.0</v>
      </c>
      <c r="B218" s="1">
        <v>79200.0</v>
      </c>
      <c r="C218" s="1">
        <v>0.0</v>
      </c>
      <c r="D218" s="1">
        <v>0.0</v>
      </c>
      <c r="E218" s="1">
        <v>0.0</v>
      </c>
      <c r="F218" s="1">
        <v>0.0</v>
      </c>
      <c r="G218" s="1">
        <v>79200.0</v>
      </c>
    </row>
    <row r="219">
      <c r="A219" s="2">
        <v>45743.0</v>
      </c>
      <c r="B219" s="1">
        <v>136400.0</v>
      </c>
      <c r="C219" s="1">
        <v>0.0</v>
      </c>
      <c r="D219" s="1">
        <v>0.0</v>
      </c>
      <c r="E219" s="1">
        <v>0.0</v>
      </c>
      <c r="F219" s="1">
        <v>0.0</v>
      </c>
      <c r="G219" s="1">
        <v>136400.0</v>
      </c>
    </row>
    <row r="220">
      <c r="A220" s="2">
        <v>45744.0</v>
      </c>
      <c r="B220" s="1">
        <v>224400.0</v>
      </c>
      <c r="C220" s="1">
        <v>0.0</v>
      </c>
      <c r="D220" s="1">
        <v>0.0</v>
      </c>
      <c r="E220" s="1">
        <v>0.0</v>
      </c>
      <c r="F220" s="1">
        <v>0.0</v>
      </c>
      <c r="G220" s="1">
        <v>224400.0</v>
      </c>
    </row>
    <row r="221">
      <c r="A221" s="2">
        <v>45745.0</v>
      </c>
      <c r="B221" s="1">
        <v>187200.0</v>
      </c>
      <c r="C221" s="1">
        <v>0.0</v>
      </c>
      <c r="D221" s="1">
        <v>0.0</v>
      </c>
      <c r="E221" s="1">
        <v>0.0</v>
      </c>
      <c r="F221" s="1">
        <v>0.0</v>
      </c>
      <c r="G221" s="1">
        <v>187200.0</v>
      </c>
    </row>
    <row r="222">
      <c r="A222" s="2">
        <v>45746.0</v>
      </c>
      <c r="B222" s="1">
        <v>130400.0</v>
      </c>
      <c r="C222" s="1">
        <v>0.0</v>
      </c>
      <c r="D222" s="1">
        <v>0.0</v>
      </c>
      <c r="E222" s="1">
        <v>0.0</v>
      </c>
      <c r="F222" s="1">
        <v>0.0</v>
      </c>
      <c r="G222" s="1">
        <v>130400.0</v>
      </c>
    </row>
    <row r="223">
      <c r="A223" s="2">
        <v>45747.0</v>
      </c>
      <c r="B223" s="1">
        <v>124200.0</v>
      </c>
      <c r="C223" s="1">
        <v>0.0</v>
      </c>
      <c r="D223" s="1">
        <v>0.0</v>
      </c>
      <c r="E223" s="1">
        <v>0.0</v>
      </c>
      <c r="F223" s="1">
        <v>0.0</v>
      </c>
      <c r="G223" s="1">
        <v>124200.0</v>
      </c>
    </row>
    <row r="224">
      <c r="A224" s="2">
        <v>45748.0</v>
      </c>
      <c r="B224" s="1">
        <v>159400.0</v>
      </c>
      <c r="C224" s="1">
        <v>0.0</v>
      </c>
      <c r="D224" s="1">
        <v>0.0</v>
      </c>
      <c r="E224" s="1">
        <v>0.0</v>
      </c>
      <c r="F224" s="1">
        <v>0.0</v>
      </c>
      <c r="G224" s="1">
        <v>159400.0</v>
      </c>
    </row>
    <row r="225">
      <c r="A225" s="2">
        <v>45749.0</v>
      </c>
      <c r="B225" s="1">
        <v>214700.0</v>
      </c>
      <c r="C225" s="1">
        <v>0.0</v>
      </c>
      <c r="D225" s="1">
        <v>0.0</v>
      </c>
      <c r="E225" s="1">
        <v>0.0</v>
      </c>
      <c r="F225" s="1">
        <v>0.0</v>
      </c>
      <c r="G225" s="1">
        <v>214700.0</v>
      </c>
    </row>
    <row r="226">
      <c r="A226" s="2">
        <v>45750.0</v>
      </c>
      <c r="B226" s="1">
        <v>259300.0</v>
      </c>
      <c r="C226" s="1">
        <v>0.0</v>
      </c>
      <c r="D226" s="1">
        <v>0.0</v>
      </c>
      <c r="E226" s="1">
        <v>0.0</v>
      </c>
      <c r="F226" s="1">
        <v>0.0</v>
      </c>
      <c r="G226" s="1">
        <v>259300.0</v>
      </c>
    </row>
    <row r="227">
      <c r="A227" s="2">
        <v>45751.0</v>
      </c>
      <c r="B227" s="1">
        <v>265400.0</v>
      </c>
      <c r="C227" s="1">
        <v>0.0</v>
      </c>
      <c r="D227" s="1">
        <v>0.0</v>
      </c>
      <c r="E227" s="1">
        <v>0.0</v>
      </c>
      <c r="F227" s="1">
        <v>0.0</v>
      </c>
      <c r="G227" s="1">
        <v>265400.0</v>
      </c>
    </row>
    <row r="228">
      <c r="A228" s="2">
        <v>45752.0</v>
      </c>
      <c r="B228" s="1">
        <v>162300.0</v>
      </c>
      <c r="C228" s="1">
        <v>0.0</v>
      </c>
      <c r="D228" s="1">
        <v>0.0</v>
      </c>
      <c r="E228" s="1">
        <v>0.0</v>
      </c>
      <c r="F228" s="1">
        <v>0.0</v>
      </c>
      <c r="G228" s="1">
        <v>162300.0</v>
      </c>
    </row>
    <row r="229">
      <c r="A229" s="2">
        <v>45753.0</v>
      </c>
      <c r="B229" s="1">
        <v>194700.0</v>
      </c>
      <c r="C229" s="1">
        <v>0.0</v>
      </c>
      <c r="D229" s="1">
        <v>0.0</v>
      </c>
      <c r="E229" s="1">
        <v>0.0</v>
      </c>
      <c r="F229" s="1">
        <v>0.0</v>
      </c>
      <c r="G229" s="1">
        <v>194700.0</v>
      </c>
    </row>
    <row r="230">
      <c r="A230" s="2">
        <v>45754.0</v>
      </c>
      <c r="B230" s="1">
        <v>115300.0</v>
      </c>
      <c r="C230" s="1">
        <v>0.0</v>
      </c>
      <c r="D230" s="1">
        <v>0.0</v>
      </c>
      <c r="E230" s="1">
        <v>0.0</v>
      </c>
      <c r="F230" s="1">
        <v>0.0</v>
      </c>
      <c r="G230" s="1">
        <v>115300.0</v>
      </c>
    </row>
    <row r="231">
      <c r="A231" s="2">
        <v>45755.0</v>
      </c>
      <c r="B231" s="1">
        <v>225000.0</v>
      </c>
      <c r="C231" s="1">
        <v>0.0</v>
      </c>
      <c r="D231" s="1">
        <v>0.0</v>
      </c>
      <c r="E231" s="1">
        <v>0.0</v>
      </c>
      <c r="F231" s="1">
        <v>0.0</v>
      </c>
      <c r="G231" s="1">
        <v>225000.0</v>
      </c>
    </row>
    <row r="232">
      <c r="A232" s="2">
        <v>45756.0</v>
      </c>
      <c r="B232" s="1">
        <v>248100.0</v>
      </c>
      <c r="C232" s="1">
        <v>0.0</v>
      </c>
      <c r="D232" s="1">
        <v>0.0</v>
      </c>
      <c r="E232" s="1">
        <v>0.0</v>
      </c>
      <c r="F232" s="1">
        <v>0.0</v>
      </c>
      <c r="G232" s="1">
        <v>248100.0</v>
      </c>
    </row>
    <row r="233">
      <c r="A233" s="2">
        <v>45757.0</v>
      </c>
      <c r="B233" s="1">
        <v>268900.0</v>
      </c>
      <c r="C233" s="1">
        <v>0.0</v>
      </c>
      <c r="D233" s="1">
        <v>0.0</v>
      </c>
      <c r="E233" s="1">
        <v>3000.0</v>
      </c>
      <c r="F233" s="1">
        <v>0.0</v>
      </c>
      <c r="G233" s="1">
        <v>271900.0</v>
      </c>
    </row>
    <row r="234">
      <c r="A234" s="2">
        <v>45758.0</v>
      </c>
      <c r="B234" s="1">
        <v>272800.0</v>
      </c>
      <c r="C234" s="1">
        <v>0.0</v>
      </c>
      <c r="D234" s="1">
        <v>3000.0</v>
      </c>
      <c r="E234" s="1">
        <v>3000.0</v>
      </c>
      <c r="F234" s="1">
        <v>0.0</v>
      </c>
      <c r="G234" s="1">
        <v>278800.0</v>
      </c>
    </row>
    <row r="235">
      <c r="A235" s="2">
        <v>45759.0</v>
      </c>
      <c r="B235" s="1">
        <v>380800.0</v>
      </c>
      <c r="C235" s="1">
        <v>0.0</v>
      </c>
      <c r="D235" s="1">
        <v>0.0</v>
      </c>
      <c r="E235" s="1">
        <v>0.0</v>
      </c>
      <c r="F235" s="1">
        <v>0.0</v>
      </c>
      <c r="G235" s="1">
        <v>380800.0</v>
      </c>
    </row>
    <row r="236">
      <c r="A236" s="2">
        <v>45760.0</v>
      </c>
      <c r="B236" s="1">
        <v>213500.0</v>
      </c>
      <c r="C236" s="1">
        <v>0.0</v>
      </c>
      <c r="D236" s="1">
        <v>0.0</v>
      </c>
      <c r="E236" s="1">
        <v>0.0</v>
      </c>
      <c r="F236" s="1">
        <v>0.0</v>
      </c>
      <c r="G236" s="1">
        <v>213500.0</v>
      </c>
    </row>
    <row r="237">
      <c r="A237" s="2">
        <v>45761.0</v>
      </c>
      <c r="B237" s="1">
        <v>144600.0</v>
      </c>
      <c r="C237" s="1">
        <v>0.0</v>
      </c>
      <c r="D237" s="1">
        <v>0.0</v>
      </c>
      <c r="E237" s="1">
        <v>0.0</v>
      </c>
      <c r="F237" s="1">
        <v>0.0</v>
      </c>
      <c r="G237" s="1">
        <v>144600.0</v>
      </c>
    </row>
    <row r="238">
      <c r="A238" s="2">
        <v>45762.0</v>
      </c>
      <c r="B238" s="1">
        <v>209300.0</v>
      </c>
      <c r="C238" s="1">
        <v>0.0</v>
      </c>
      <c r="D238" s="1">
        <v>0.0</v>
      </c>
      <c r="E238" s="1">
        <v>0.0</v>
      </c>
      <c r="F238" s="1">
        <v>0.0</v>
      </c>
      <c r="G238" s="1">
        <v>209300.0</v>
      </c>
    </row>
    <row r="239">
      <c r="A239" s="2">
        <v>45763.0</v>
      </c>
      <c r="B239" s="1">
        <v>335700.0</v>
      </c>
      <c r="C239" s="1">
        <v>0.0</v>
      </c>
      <c r="D239" s="1">
        <v>0.0</v>
      </c>
      <c r="E239" s="1">
        <v>9000.0</v>
      </c>
      <c r="F239" s="1">
        <v>0.0</v>
      </c>
      <c r="G239" s="1">
        <v>344700.0</v>
      </c>
    </row>
    <row r="240">
      <c r="A240" s="2">
        <v>45764.0</v>
      </c>
      <c r="B240" s="1">
        <v>290200.0</v>
      </c>
      <c r="C240" s="1">
        <v>0.0</v>
      </c>
      <c r="D240" s="1">
        <v>0.0</v>
      </c>
      <c r="E240" s="1">
        <v>0.0</v>
      </c>
      <c r="F240" s="1">
        <v>0.0</v>
      </c>
      <c r="G240" s="1">
        <v>290200.0</v>
      </c>
    </row>
    <row r="241">
      <c r="A241" s="2">
        <v>45765.0</v>
      </c>
      <c r="B241" s="1">
        <v>351500.0</v>
      </c>
      <c r="C241" s="1">
        <v>0.0</v>
      </c>
      <c r="D241" s="1">
        <v>0.0</v>
      </c>
      <c r="E241" s="1">
        <v>0.0</v>
      </c>
      <c r="F241" s="1">
        <v>0.0</v>
      </c>
      <c r="G241" s="1">
        <v>351500.0</v>
      </c>
    </row>
    <row r="242">
      <c r="A242" s="2">
        <v>45766.0</v>
      </c>
      <c r="B242" s="1">
        <v>338000.0</v>
      </c>
      <c r="C242" s="1">
        <v>0.0</v>
      </c>
      <c r="D242" s="1">
        <v>0.0</v>
      </c>
      <c r="E242" s="1">
        <v>0.0</v>
      </c>
      <c r="F242" s="1">
        <v>0.0</v>
      </c>
      <c r="G242" s="1">
        <v>338000.0</v>
      </c>
    </row>
    <row r="243">
      <c r="A243" s="2">
        <v>45767.0</v>
      </c>
      <c r="B243" s="1">
        <v>250000.0</v>
      </c>
      <c r="C243" s="1">
        <v>0.0</v>
      </c>
      <c r="D243" s="1">
        <v>0.0</v>
      </c>
      <c r="E243" s="1">
        <v>6000.0</v>
      </c>
      <c r="F243" s="1">
        <v>0.0</v>
      </c>
      <c r="G243" s="1">
        <v>256000.0</v>
      </c>
    </row>
    <row r="244">
      <c r="A244" s="2">
        <v>45768.0</v>
      </c>
      <c r="B244" s="1">
        <v>162700.0</v>
      </c>
      <c r="C244" s="1">
        <v>0.0</v>
      </c>
      <c r="D244" s="1">
        <v>0.0</v>
      </c>
      <c r="E244" s="1">
        <v>0.0</v>
      </c>
      <c r="F244" s="1">
        <v>0.0</v>
      </c>
      <c r="G244" s="1">
        <v>162700.0</v>
      </c>
    </row>
    <row r="245">
      <c r="A245" s="2">
        <v>45769.0</v>
      </c>
      <c r="B245" s="1">
        <v>192100.0</v>
      </c>
      <c r="C245" s="1">
        <v>0.0</v>
      </c>
      <c r="D245" s="1">
        <v>0.0</v>
      </c>
      <c r="E245" s="1">
        <v>0.0</v>
      </c>
      <c r="F245" s="1">
        <v>0.0</v>
      </c>
      <c r="G245" s="1">
        <v>192100.0</v>
      </c>
    </row>
    <row r="246">
      <c r="A246" s="2">
        <v>45770.0</v>
      </c>
      <c r="B246" s="1">
        <v>268700.0</v>
      </c>
      <c r="C246" s="1">
        <v>0.0</v>
      </c>
      <c r="D246" s="1">
        <v>0.0</v>
      </c>
      <c r="E246" s="1">
        <v>3000.0</v>
      </c>
      <c r="F246" s="1">
        <v>0.0</v>
      </c>
      <c r="G246" s="1">
        <v>271700.0</v>
      </c>
    </row>
    <row r="247">
      <c r="A247" s="2">
        <v>45771.0</v>
      </c>
      <c r="B247" s="1">
        <v>234600.0</v>
      </c>
      <c r="C247" s="1">
        <v>0.0</v>
      </c>
      <c r="D247" s="1">
        <v>0.0</v>
      </c>
      <c r="E247" s="1">
        <v>0.0</v>
      </c>
      <c r="F247" s="1">
        <v>0.0</v>
      </c>
      <c r="G247" s="1">
        <v>234600.0</v>
      </c>
    </row>
    <row r="248">
      <c r="A248" s="2">
        <v>45772.0</v>
      </c>
      <c r="B248" s="1">
        <v>334600.0</v>
      </c>
      <c r="C248" s="1">
        <v>0.0</v>
      </c>
      <c r="D248" s="1">
        <v>0.0</v>
      </c>
      <c r="E248" s="1">
        <v>27000.0</v>
      </c>
      <c r="F248" s="1">
        <v>0.0</v>
      </c>
      <c r="G248" s="1">
        <v>361600.0</v>
      </c>
    </row>
    <row r="249">
      <c r="A249" s="2">
        <v>45773.0</v>
      </c>
      <c r="B249" s="1">
        <v>191900.0</v>
      </c>
      <c r="C249" s="1">
        <v>0.0</v>
      </c>
      <c r="D249" s="1">
        <v>0.0</v>
      </c>
      <c r="E249" s="1">
        <v>6000.0</v>
      </c>
      <c r="F249" s="1">
        <v>0.0</v>
      </c>
      <c r="G249" s="1">
        <v>197900.0</v>
      </c>
    </row>
    <row r="250">
      <c r="A250" s="2">
        <v>45774.0</v>
      </c>
      <c r="B250" s="1">
        <v>221900.0</v>
      </c>
      <c r="C250" s="1">
        <v>0.0</v>
      </c>
      <c r="D250" s="1">
        <v>0.0</v>
      </c>
      <c r="E250" s="1">
        <v>12000.0</v>
      </c>
      <c r="F250" s="1">
        <v>0.0</v>
      </c>
      <c r="G250" s="1">
        <v>233900.0</v>
      </c>
    </row>
    <row r="251">
      <c r="A251" s="2">
        <v>45775.0</v>
      </c>
      <c r="B251" s="1">
        <v>202400.0</v>
      </c>
      <c r="C251" s="1">
        <v>0.0</v>
      </c>
      <c r="D251" s="1">
        <v>0.0</v>
      </c>
      <c r="E251" s="1">
        <v>0.0</v>
      </c>
      <c r="F251" s="1">
        <v>0.0</v>
      </c>
      <c r="G251" s="1">
        <v>202400.0</v>
      </c>
    </row>
    <row r="252">
      <c r="A252" s="2">
        <v>45776.0</v>
      </c>
      <c r="B252" s="1">
        <v>368000.0</v>
      </c>
      <c r="C252" s="1">
        <v>12000.0</v>
      </c>
      <c r="D252" s="1">
        <v>0.0</v>
      </c>
      <c r="E252" s="1">
        <v>0.0</v>
      </c>
      <c r="F252" s="1">
        <v>20000.0</v>
      </c>
      <c r="G252" s="1">
        <v>400000.0</v>
      </c>
    </row>
    <row r="253">
      <c r="A253" s="2">
        <v>45777.0</v>
      </c>
      <c r="B253" s="1">
        <v>358800.0</v>
      </c>
      <c r="C253" s="1">
        <v>0.0</v>
      </c>
      <c r="D253" s="1">
        <v>0.0</v>
      </c>
      <c r="E253" s="1">
        <v>3000.0</v>
      </c>
      <c r="F253" s="1">
        <v>0.0</v>
      </c>
      <c r="G253" s="1">
        <v>361800.0</v>
      </c>
    </row>
    <row r="254">
      <c r="A254" s="2">
        <v>45778.0</v>
      </c>
      <c r="B254" s="1">
        <v>522900.0</v>
      </c>
      <c r="C254" s="1">
        <v>20000.0</v>
      </c>
      <c r="D254" s="1">
        <v>0.0</v>
      </c>
      <c r="E254" s="1">
        <v>0.0</v>
      </c>
      <c r="F254" s="1">
        <v>0.0</v>
      </c>
      <c r="G254" s="1">
        <v>542900.0</v>
      </c>
    </row>
    <row r="255">
      <c r="A255" s="2">
        <v>45779.0</v>
      </c>
      <c r="B255" s="1">
        <v>554800.0</v>
      </c>
      <c r="C255" s="1">
        <v>24000.0</v>
      </c>
      <c r="D255" s="1">
        <v>0.0</v>
      </c>
      <c r="E255" s="1">
        <v>0.0</v>
      </c>
      <c r="F255" s="1">
        <v>0.0</v>
      </c>
      <c r="G255" s="1">
        <v>578800.0</v>
      </c>
    </row>
    <row r="256">
      <c r="A256" s="2">
        <v>45780.0</v>
      </c>
      <c r="B256" s="1">
        <v>178600.0</v>
      </c>
      <c r="C256" s="1">
        <v>8000.0</v>
      </c>
      <c r="D256" s="1">
        <v>0.0</v>
      </c>
      <c r="E256" s="1">
        <v>0.0</v>
      </c>
      <c r="F256" s="1">
        <v>0.0</v>
      </c>
      <c r="G256" s="1">
        <v>186600.0</v>
      </c>
    </row>
    <row r="257">
      <c r="A257" s="2">
        <v>45781.0</v>
      </c>
      <c r="B257" s="1">
        <v>109200.0</v>
      </c>
      <c r="C257" s="1">
        <v>0.0</v>
      </c>
      <c r="D257" s="1">
        <v>0.0</v>
      </c>
      <c r="E257" s="1">
        <v>0.0</v>
      </c>
      <c r="F257" s="1">
        <v>0.0</v>
      </c>
      <c r="G257" s="1">
        <v>109200.0</v>
      </c>
    </row>
    <row r="258">
      <c r="A258" s="2">
        <v>45782.0</v>
      </c>
      <c r="B258" s="1">
        <v>161500.0</v>
      </c>
      <c r="C258" s="1">
        <v>24000.0</v>
      </c>
      <c r="D258" s="1">
        <v>0.0</v>
      </c>
      <c r="E258" s="1">
        <v>0.0</v>
      </c>
      <c r="F258" s="1">
        <v>0.0</v>
      </c>
      <c r="G258" s="1">
        <v>185500.0</v>
      </c>
    </row>
    <row r="259">
      <c r="A259" s="2">
        <v>45783.0</v>
      </c>
      <c r="B259" s="1">
        <v>261900.0</v>
      </c>
      <c r="C259" s="1">
        <v>16000.0</v>
      </c>
      <c r="D259" s="1">
        <v>0.0</v>
      </c>
      <c r="E259" s="1">
        <v>0.0</v>
      </c>
      <c r="F259" s="1">
        <v>0.0</v>
      </c>
      <c r="G259" s="1">
        <v>277900.0</v>
      </c>
    </row>
    <row r="260">
      <c r="A260" s="2">
        <v>45784.0</v>
      </c>
      <c r="B260" s="1">
        <v>339700.0</v>
      </c>
      <c r="C260" s="1">
        <v>8000.0</v>
      </c>
      <c r="D260" s="1">
        <v>0.0</v>
      </c>
      <c r="E260" s="1">
        <v>0.0</v>
      </c>
      <c r="F260" s="1">
        <v>0.0</v>
      </c>
      <c r="G260" s="1">
        <v>347700.0</v>
      </c>
    </row>
    <row r="261">
      <c r="A261" s="2">
        <v>45785.0</v>
      </c>
      <c r="B261" s="1">
        <v>337100.0</v>
      </c>
      <c r="C261" s="1">
        <v>12000.0</v>
      </c>
      <c r="D261" s="1">
        <v>0.0</v>
      </c>
      <c r="E261" s="1">
        <v>0.0</v>
      </c>
      <c r="F261" s="1">
        <v>0.0</v>
      </c>
      <c r="G261" s="1">
        <v>349100.0</v>
      </c>
    </row>
    <row r="262">
      <c r="A262" s="2">
        <v>45786.0</v>
      </c>
      <c r="B262" s="1">
        <v>503000.0</v>
      </c>
      <c r="C262" s="1">
        <v>4000.0</v>
      </c>
      <c r="D262" s="1">
        <v>0.0</v>
      </c>
      <c r="E262" s="1">
        <v>3000.0</v>
      </c>
      <c r="F262" s="1">
        <v>0.0</v>
      </c>
      <c r="G262" s="1">
        <v>510000.0</v>
      </c>
    </row>
    <row r="263">
      <c r="A263" s="2">
        <v>45787.0</v>
      </c>
      <c r="B263" s="1">
        <v>300200.0</v>
      </c>
      <c r="C263" s="1">
        <v>0.0</v>
      </c>
      <c r="D263" s="1">
        <v>0.0</v>
      </c>
      <c r="E263" s="1">
        <v>0.0</v>
      </c>
      <c r="F263" s="1">
        <v>0.0</v>
      </c>
      <c r="G263" s="1">
        <v>300200.0</v>
      </c>
    </row>
    <row r="264">
      <c r="A264" s="2">
        <v>45788.0</v>
      </c>
      <c r="B264" s="1">
        <v>225200.0</v>
      </c>
      <c r="C264" s="1">
        <v>24000.0</v>
      </c>
      <c r="D264" s="1">
        <v>0.0</v>
      </c>
      <c r="E264" s="1">
        <v>0.0</v>
      </c>
      <c r="F264" s="1">
        <v>0.0</v>
      </c>
      <c r="G264" s="1">
        <v>249200.0</v>
      </c>
    </row>
    <row r="265">
      <c r="A265" s="2">
        <v>45789.0</v>
      </c>
      <c r="B265" s="1">
        <v>210200.0</v>
      </c>
      <c r="C265" s="1">
        <v>0.0</v>
      </c>
      <c r="D265" s="1">
        <v>5000.0</v>
      </c>
      <c r="E265" s="1">
        <v>0.0</v>
      </c>
      <c r="F265" s="1">
        <v>0.0</v>
      </c>
      <c r="G265" s="1">
        <v>215200.0</v>
      </c>
    </row>
    <row r="266">
      <c r="A266" s="2">
        <v>45790.0</v>
      </c>
      <c r="B266" s="1">
        <v>312200.0</v>
      </c>
      <c r="C266" s="1">
        <v>0.0</v>
      </c>
      <c r="D266" s="1">
        <v>0.0</v>
      </c>
      <c r="E266" s="1">
        <v>3000.0</v>
      </c>
      <c r="F266" s="1">
        <v>0.0</v>
      </c>
      <c r="G266" s="1">
        <v>315200.0</v>
      </c>
    </row>
    <row r="267">
      <c r="A267" s="2">
        <v>45791.0</v>
      </c>
      <c r="B267" s="1">
        <v>497000.0</v>
      </c>
      <c r="C267" s="1">
        <v>4000.0</v>
      </c>
      <c r="D267" s="1">
        <v>8000.0</v>
      </c>
      <c r="E267" s="1">
        <v>0.0</v>
      </c>
      <c r="F267" s="1">
        <v>0.0</v>
      </c>
      <c r="G267" s="1">
        <v>509000.0</v>
      </c>
    </row>
    <row r="268">
      <c r="A268" s="2">
        <v>45792.0</v>
      </c>
      <c r="B268" s="1">
        <v>369000.0</v>
      </c>
      <c r="C268" s="1">
        <v>8000.0</v>
      </c>
      <c r="D268" s="1">
        <v>0.0</v>
      </c>
      <c r="E268" s="1">
        <v>0.0</v>
      </c>
      <c r="F268" s="1">
        <v>0.0</v>
      </c>
      <c r="G268" s="1">
        <v>377000.0</v>
      </c>
    </row>
    <row r="269">
      <c r="A269" s="2">
        <v>45793.0</v>
      </c>
      <c r="B269" s="1">
        <v>326600.0</v>
      </c>
      <c r="C269" s="1">
        <v>4000.0</v>
      </c>
      <c r="D269" s="1">
        <v>0.0</v>
      </c>
      <c r="E269" s="1">
        <v>0.0</v>
      </c>
      <c r="F269" s="1">
        <v>0.0</v>
      </c>
      <c r="G269" s="1">
        <v>330600.0</v>
      </c>
    </row>
    <row r="270">
      <c r="A270" s="2">
        <v>45794.0</v>
      </c>
      <c r="B270" s="1">
        <v>364000.0</v>
      </c>
      <c r="C270" s="1">
        <v>0.0</v>
      </c>
      <c r="D270" s="1">
        <v>0.0</v>
      </c>
      <c r="E270" s="1">
        <v>12000.0</v>
      </c>
      <c r="F270" s="1">
        <v>0.0</v>
      </c>
      <c r="G270" s="1">
        <v>376000.0</v>
      </c>
    </row>
    <row r="271">
      <c r="A271" s="2">
        <v>45795.0</v>
      </c>
      <c r="B271" s="1">
        <v>347600.0</v>
      </c>
      <c r="C271" s="1">
        <v>0.0</v>
      </c>
      <c r="D271" s="1">
        <v>0.0</v>
      </c>
      <c r="E271" s="1">
        <v>12000.0</v>
      </c>
      <c r="F271" s="1">
        <v>0.0</v>
      </c>
      <c r="G271" s="1">
        <v>359600.0</v>
      </c>
    </row>
    <row r="272">
      <c r="A272" s="2">
        <v>45796.0</v>
      </c>
      <c r="B272" s="1">
        <v>144600.0</v>
      </c>
      <c r="C272" s="1">
        <v>24000.0</v>
      </c>
      <c r="D272" s="1">
        <v>0.0</v>
      </c>
      <c r="E272" s="1">
        <v>0.0</v>
      </c>
      <c r="F272" s="1">
        <v>0.0</v>
      </c>
      <c r="G272" s="1">
        <v>168600.0</v>
      </c>
    </row>
    <row r="273">
      <c r="A273" s="2">
        <v>45797.0</v>
      </c>
      <c r="B273" s="1">
        <v>259500.0</v>
      </c>
      <c r="C273" s="1">
        <v>16000.0</v>
      </c>
      <c r="D273" s="1">
        <v>0.0</v>
      </c>
      <c r="E273" s="1">
        <v>0.0</v>
      </c>
      <c r="F273" s="1">
        <v>0.0</v>
      </c>
      <c r="G273" s="1">
        <v>275500.0</v>
      </c>
    </row>
    <row r="274">
      <c r="A274" s="2">
        <v>45798.0</v>
      </c>
      <c r="B274" s="1">
        <v>401200.0</v>
      </c>
      <c r="C274" s="1">
        <v>16000.0</v>
      </c>
      <c r="D274" s="1">
        <v>75000.0</v>
      </c>
      <c r="E274" s="1">
        <v>0.0</v>
      </c>
      <c r="F274" s="1">
        <v>0.0</v>
      </c>
      <c r="G274" s="1">
        <v>492200.0</v>
      </c>
    </row>
    <row r="275">
      <c r="A275" s="2">
        <v>45799.0</v>
      </c>
      <c r="B275" s="1">
        <v>344900.0</v>
      </c>
      <c r="C275" s="1">
        <v>6000.0</v>
      </c>
      <c r="D275" s="1">
        <v>0.0</v>
      </c>
      <c r="E275" s="1">
        <v>0.0</v>
      </c>
      <c r="F275" s="1">
        <v>0.0</v>
      </c>
      <c r="G275" s="1">
        <v>350900.0</v>
      </c>
    </row>
    <row r="276">
      <c r="A276" s="2">
        <v>45800.0</v>
      </c>
      <c r="B276" s="1">
        <v>323800.0</v>
      </c>
      <c r="C276" s="1">
        <v>4000.0</v>
      </c>
      <c r="D276" s="1">
        <v>0.0</v>
      </c>
      <c r="E276" s="1">
        <v>0.0</v>
      </c>
      <c r="F276" s="1">
        <v>0.0</v>
      </c>
      <c r="G276" s="1">
        <v>327800.0</v>
      </c>
    </row>
    <row r="277">
      <c r="A277" s="2">
        <v>45801.0</v>
      </c>
      <c r="B277" s="1">
        <v>416600.0</v>
      </c>
      <c r="C277" s="1">
        <v>4000.0</v>
      </c>
      <c r="D277" s="1">
        <v>0.0</v>
      </c>
      <c r="E277" s="1">
        <v>6000.0</v>
      </c>
      <c r="F277" s="1">
        <v>0.0</v>
      </c>
      <c r="G277" s="1">
        <v>426600.0</v>
      </c>
    </row>
    <row r="278">
      <c r="A278" s="2">
        <v>45802.0</v>
      </c>
      <c r="B278" s="1">
        <v>235000.0</v>
      </c>
      <c r="C278" s="1">
        <v>8000.0</v>
      </c>
      <c r="D278" s="1">
        <v>0.0</v>
      </c>
      <c r="E278" s="1">
        <v>0.0</v>
      </c>
      <c r="F278" s="1">
        <v>0.0</v>
      </c>
      <c r="G278" s="1">
        <v>243000.0</v>
      </c>
    </row>
    <row r="279">
      <c r="A279" s="2">
        <v>45803.0</v>
      </c>
      <c r="B279" s="1">
        <v>239300.0</v>
      </c>
      <c r="C279" s="1">
        <v>53000.0</v>
      </c>
      <c r="D279" s="1">
        <v>0.0</v>
      </c>
      <c r="E279" s="1">
        <v>3000.0</v>
      </c>
      <c r="F279" s="1">
        <v>0.0</v>
      </c>
      <c r="G279" s="1">
        <v>295300.0</v>
      </c>
    </row>
    <row r="280">
      <c r="A280" s="2">
        <v>45804.0</v>
      </c>
      <c r="B280" s="1">
        <v>228300.0</v>
      </c>
      <c r="C280" s="1">
        <v>12000.0</v>
      </c>
      <c r="D280" s="1">
        <v>0.0</v>
      </c>
      <c r="E280" s="1">
        <v>6000.0</v>
      </c>
      <c r="F280" s="1">
        <v>0.0</v>
      </c>
      <c r="G280" s="1">
        <v>246300.0</v>
      </c>
    </row>
    <row r="281">
      <c r="A281" s="2">
        <v>45805.0</v>
      </c>
      <c r="B281" s="1">
        <v>334200.0</v>
      </c>
      <c r="C281" s="1">
        <v>11000.0</v>
      </c>
      <c r="D281" s="1">
        <v>0.0</v>
      </c>
      <c r="E281" s="1">
        <v>0.0</v>
      </c>
      <c r="F281" s="1">
        <v>0.0</v>
      </c>
      <c r="G281" s="1">
        <v>345200.0</v>
      </c>
    </row>
    <row r="282">
      <c r="A282" s="2">
        <v>45806.0</v>
      </c>
      <c r="B282" s="1">
        <v>217300.0</v>
      </c>
      <c r="C282" s="1">
        <v>0.0</v>
      </c>
      <c r="D282" s="1">
        <v>0.0</v>
      </c>
      <c r="E282" s="1">
        <v>0.0</v>
      </c>
      <c r="F282" s="1">
        <v>0.0</v>
      </c>
      <c r="G282" s="1">
        <v>217300.0</v>
      </c>
    </row>
    <row r="283">
      <c r="A283" s="2">
        <v>45807.0</v>
      </c>
      <c r="B283" s="1">
        <v>218300.0</v>
      </c>
      <c r="C283" s="1">
        <v>12000.0</v>
      </c>
      <c r="D283" s="1">
        <v>0.0</v>
      </c>
      <c r="E283" s="1">
        <v>6000.0</v>
      </c>
      <c r="F283" s="1">
        <v>0.0</v>
      </c>
      <c r="G283" s="1">
        <v>236300.0</v>
      </c>
    </row>
    <row r="284">
      <c r="A284" s="2">
        <v>45808.0</v>
      </c>
      <c r="B284" s="1">
        <v>292100.0</v>
      </c>
      <c r="C284" s="1">
        <v>16000.0</v>
      </c>
      <c r="D284" s="1">
        <v>0.0</v>
      </c>
      <c r="E284" s="1">
        <v>3000.0</v>
      </c>
      <c r="F284" s="1">
        <v>0.0</v>
      </c>
      <c r="G284" s="1">
        <v>311100.0</v>
      </c>
    </row>
    <row r="285">
      <c r="A285" s="2">
        <v>45809.0</v>
      </c>
      <c r="B285" s="1">
        <v>249500.0</v>
      </c>
      <c r="C285" s="1">
        <v>4000.0</v>
      </c>
      <c r="D285" s="1">
        <v>0.0</v>
      </c>
      <c r="E285" s="1">
        <v>0.0</v>
      </c>
      <c r="F285" s="1">
        <v>0.0</v>
      </c>
      <c r="G285" s="1">
        <v>253500.0</v>
      </c>
    </row>
    <row r="286">
      <c r="A286" s="2">
        <v>45810.0</v>
      </c>
      <c r="B286" s="1">
        <v>273500.0</v>
      </c>
      <c r="C286" s="1">
        <v>0.0</v>
      </c>
      <c r="D286" s="1">
        <v>0.0</v>
      </c>
      <c r="E286" s="1">
        <v>3000.0</v>
      </c>
      <c r="F286" s="1">
        <v>0.0</v>
      </c>
      <c r="G286" s="1">
        <v>276500.0</v>
      </c>
    </row>
    <row r="287">
      <c r="A287" s="2">
        <v>45811.0</v>
      </c>
      <c r="B287" s="1">
        <v>187500.0</v>
      </c>
      <c r="C287" s="1">
        <v>0.0</v>
      </c>
      <c r="D287" s="1">
        <v>0.0</v>
      </c>
      <c r="E287" s="1">
        <v>0.0</v>
      </c>
      <c r="F287" s="1">
        <v>0.0</v>
      </c>
      <c r="G287" s="1">
        <v>187500.0</v>
      </c>
    </row>
    <row r="288">
      <c r="A288" s="2">
        <v>45812.0</v>
      </c>
      <c r="B288" s="1">
        <v>350000.0</v>
      </c>
      <c r="C288" s="1">
        <v>12000.0</v>
      </c>
      <c r="D288" s="1">
        <v>0.0</v>
      </c>
      <c r="E288" s="1">
        <v>3000.0</v>
      </c>
      <c r="F288" s="1">
        <v>0.0</v>
      </c>
      <c r="G288" s="1">
        <v>365000.0</v>
      </c>
    </row>
    <row r="289">
      <c r="A289" s="2">
        <v>45813.0</v>
      </c>
      <c r="B289" s="1">
        <v>305800.0</v>
      </c>
      <c r="C289" s="1">
        <v>12000.0</v>
      </c>
      <c r="D289" s="1">
        <v>0.0</v>
      </c>
      <c r="E289" s="1">
        <v>0.0</v>
      </c>
      <c r="F289" s="1">
        <v>0.0</v>
      </c>
      <c r="G289" s="1">
        <v>317800.0</v>
      </c>
    </row>
    <row r="290">
      <c r="A290" s="2">
        <v>45814.0</v>
      </c>
      <c r="B290" s="1">
        <v>402400.0</v>
      </c>
      <c r="C290" s="1">
        <v>57000.0</v>
      </c>
      <c r="D290" s="1">
        <v>0.0</v>
      </c>
      <c r="E290" s="1">
        <v>3000.0</v>
      </c>
      <c r="F290" s="1">
        <v>0.0</v>
      </c>
      <c r="G290" s="1">
        <v>462400.0</v>
      </c>
    </row>
    <row r="291">
      <c r="A291" s="2">
        <v>45815.0</v>
      </c>
      <c r="B291" s="1">
        <v>468200.0</v>
      </c>
      <c r="C291" s="1">
        <v>4000.0</v>
      </c>
      <c r="D291" s="1">
        <v>0.0</v>
      </c>
      <c r="E291" s="1">
        <v>9000.0</v>
      </c>
      <c r="F291" s="1">
        <v>0.0</v>
      </c>
      <c r="G291" s="1">
        <v>481200.0</v>
      </c>
    </row>
    <row r="292">
      <c r="A292" s="2">
        <v>45816.0</v>
      </c>
      <c r="B292" s="1">
        <v>457700.0</v>
      </c>
      <c r="C292" s="1">
        <v>12000.0</v>
      </c>
      <c r="D292" s="1">
        <v>0.0</v>
      </c>
      <c r="E292" s="1">
        <v>0.0</v>
      </c>
      <c r="F292" s="1">
        <v>0.0</v>
      </c>
      <c r="G292" s="1">
        <v>469700.0</v>
      </c>
    </row>
    <row r="293">
      <c r="A293" s="2">
        <v>45817.0</v>
      </c>
      <c r="B293" s="1">
        <v>236400.0</v>
      </c>
      <c r="C293" s="1">
        <v>0.0</v>
      </c>
      <c r="D293" s="1">
        <v>0.0</v>
      </c>
      <c r="E293" s="1">
        <v>0.0</v>
      </c>
      <c r="F293" s="1">
        <v>0.0</v>
      </c>
      <c r="G293" s="1">
        <v>236400.0</v>
      </c>
    </row>
    <row r="294">
      <c r="A294" s="2">
        <v>45818.0</v>
      </c>
      <c r="B294" s="1">
        <v>375900.0</v>
      </c>
      <c r="C294" s="1">
        <v>55000.0</v>
      </c>
      <c r="D294" s="1">
        <v>0.0</v>
      </c>
      <c r="E294" s="1">
        <v>0.0</v>
      </c>
      <c r="F294" s="1">
        <v>0.0</v>
      </c>
      <c r="G294" s="1">
        <v>430900.0</v>
      </c>
    </row>
    <row r="295">
      <c r="A295" s="2">
        <v>45819.0</v>
      </c>
      <c r="B295" s="1">
        <v>406100.0</v>
      </c>
      <c r="C295" s="1">
        <v>16000.0</v>
      </c>
      <c r="D295" s="1">
        <v>0.0</v>
      </c>
      <c r="E295" s="1">
        <v>3000.0</v>
      </c>
      <c r="F295" s="1">
        <v>0.0</v>
      </c>
      <c r="G295" s="1">
        <v>425100.0</v>
      </c>
    </row>
    <row r="296">
      <c r="A296" s="2">
        <v>45820.0</v>
      </c>
      <c r="B296" s="1">
        <v>424100.0</v>
      </c>
      <c r="C296" s="1">
        <v>12000.0</v>
      </c>
      <c r="D296" s="1">
        <v>0.0</v>
      </c>
      <c r="E296" s="1">
        <v>0.0</v>
      </c>
      <c r="F296" s="1">
        <v>0.0</v>
      </c>
      <c r="G296" s="1">
        <v>436100.0</v>
      </c>
    </row>
    <row r="297">
      <c r="A297" s="2">
        <v>45821.0</v>
      </c>
      <c r="B297" s="1">
        <v>315000.0</v>
      </c>
      <c r="C297" s="1">
        <v>28000.0</v>
      </c>
      <c r="D297" s="1">
        <v>9000.0</v>
      </c>
      <c r="E297" s="1">
        <v>0.0</v>
      </c>
      <c r="F297" s="1">
        <v>0.0</v>
      </c>
      <c r="G297" s="1">
        <v>352000.0</v>
      </c>
    </row>
    <row r="298">
      <c r="A298" s="2">
        <v>45822.0</v>
      </c>
      <c r="B298" s="1">
        <v>444000.0</v>
      </c>
      <c r="C298" s="1">
        <v>8000.0</v>
      </c>
      <c r="D298" s="1">
        <v>8000.0</v>
      </c>
      <c r="E298" s="1">
        <v>0.0</v>
      </c>
      <c r="F298" s="1">
        <v>0.0</v>
      </c>
      <c r="G298" s="1">
        <v>460000.0</v>
      </c>
    </row>
    <row r="299">
      <c r="A299" s="2">
        <v>45823.0</v>
      </c>
      <c r="B299" s="1">
        <v>402600.0</v>
      </c>
      <c r="C299" s="1">
        <v>0.0</v>
      </c>
      <c r="D299" s="1">
        <v>9000.0</v>
      </c>
      <c r="E299" s="1">
        <v>0.0</v>
      </c>
      <c r="F299" s="1">
        <v>0.0</v>
      </c>
      <c r="G299" s="1">
        <v>411600.0</v>
      </c>
    </row>
    <row r="300">
      <c r="A300" s="2">
        <v>45824.0</v>
      </c>
      <c r="B300" s="1">
        <v>320200.0</v>
      </c>
      <c r="C300" s="1">
        <v>0.0</v>
      </c>
      <c r="D300" s="1">
        <v>0.0</v>
      </c>
      <c r="E300" s="1">
        <v>18000.0</v>
      </c>
      <c r="F300" s="1">
        <v>0.0</v>
      </c>
      <c r="G300" s="1">
        <v>338200.0</v>
      </c>
    </row>
    <row r="301">
      <c r="A301" s="2">
        <v>45825.0</v>
      </c>
      <c r="B301" s="1">
        <v>316100.0</v>
      </c>
      <c r="C301" s="1">
        <v>16000.0</v>
      </c>
      <c r="D301" s="1">
        <v>0.0</v>
      </c>
      <c r="E301" s="1">
        <v>0.0</v>
      </c>
      <c r="F301" s="1">
        <v>0.0</v>
      </c>
      <c r="G301" s="1">
        <v>332100.0</v>
      </c>
    </row>
    <row r="302">
      <c r="A302" s="2">
        <v>45826.0</v>
      </c>
      <c r="B302" s="1">
        <v>512700.0</v>
      </c>
      <c r="C302" s="1">
        <v>12000.0</v>
      </c>
      <c r="D302" s="1">
        <v>0.0</v>
      </c>
      <c r="E302" s="1">
        <v>0.0</v>
      </c>
      <c r="F302" s="1">
        <v>0.0</v>
      </c>
      <c r="G302" s="1">
        <v>524700.0</v>
      </c>
    </row>
    <row r="303">
      <c r="A303" s="2">
        <v>45827.0</v>
      </c>
      <c r="B303" s="1">
        <v>550200.0</v>
      </c>
      <c r="C303" s="1">
        <v>0.0</v>
      </c>
      <c r="D303" s="1">
        <v>0.0</v>
      </c>
      <c r="E303" s="1">
        <v>0.0</v>
      </c>
      <c r="F303" s="1">
        <v>0.0</v>
      </c>
      <c r="G303" s="1">
        <v>550200.0</v>
      </c>
    </row>
    <row r="304">
      <c r="A304" s="2">
        <v>45828.0</v>
      </c>
      <c r="B304" s="1">
        <v>415300.0</v>
      </c>
      <c r="C304" s="1">
        <v>24000.0</v>
      </c>
      <c r="D304" s="1">
        <v>0.0</v>
      </c>
      <c r="E304" s="1">
        <v>12000.0</v>
      </c>
      <c r="F304" s="1">
        <v>0.0</v>
      </c>
      <c r="G304" s="1">
        <v>451300.0</v>
      </c>
    </row>
    <row r="305">
      <c r="A305" s="2">
        <v>45829.0</v>
      </c>
      <c r="B305" s="1">
        <v>262800.0</v>
      </c>
      <c r="C305" s="1">
        <v>12000.0</v>
      </c>
      <c r="D305" s="1">
        <v>0.0</v>
      </c>
      <c r="E305" s="1">
        <v>3000.0</v>
      </c>
      <c r="F305" s="1">
        <v>0.0</v>
      </c>
      <c r="G305" s="1">
        <v>277800.0</v>
      </c>
    </row>
    <row r="306">
      <c r="A306" s="2">
        <v>45830.0</v>
      </c>
      <c r="B306" s="1">
        <v>356100.0</v>
      </c>
      <c r="C306" s="1">
        <v>16000.0</v>
      </c>
      <c r="D306" s="1">
        <v>0.0</v>
      </c>
      <c r="E306" s="1">
        <v>0.0</v>
      </c>
      <c r="F306" s="1">
        <v>0.0</v>
      </c>
      <c r="G306" s="1">
        <v>372100.0</v>
      </c>
    </row>
    <row r="307">
      <c r="A307" s="2">
        <v>45831.0</v>
      </c>
      <c r="B307" s="1">
        <v>295160.0</v>
      </c>
      <c r="C307" s="1">
        <v>0.0</v>
      </c>
      <c r="D307" s="1">
        <v>0.0</v>
      </c>
      <c r="E307" s="1">
        <v>6000.0</v>
      </c>
      <c r="F307" s="1">
        <v>0.0</v>
      </c>
      <c r="G307" s="1">
        <v>301160.0</v>
      </c>
    </row>
    <row r="308">
      <c r="A308" s="2">
        <v>45832.0</v>
      </c>
      <c r="B308" s="1">
        <v>409000.0</v>
      </c>
      <c r="C308" s="1">
        <v>8000.0</v>
      </c>
      <c r="D308" s="1">
        <v>0.0</v>
      </c>
      <c r="E308" s="1">
        <v>12000.0</v>
      </c>
      <c r="F308" s="1">
        <v>0.0</v>
      </c>
      <c r="G308" s="1">
        <v>429000.0</v>
      </c>
    </row>
    <row r="309">
      <c r="A309" s="2">
        <v>45833.0</v>
      </c>
      <c r="B309" s="1">
        <v>592000.0</v>
      </c>
      <c r="C309" s="1">
        <v>24000.0</v>
      </c>
      <c r="D309" s="1">
        <v>0.0</v>
      </c>
      <c r="E309" s="1">
        <v>21000.0</v>
      </c>
      <c r="F309" s="1">
        <v>0.0</v>
      </c>
      <c r="G309" s="1">
        <v>637000.0</v>
      </c>
    </row>
    <row r="310">
      <c r="A310" s="2">
        <v>45834.0</v>
      </c>
      <c r="B310" s="1">
        <v>675500.0</v>
      </c>
      <c r="C310" s="1">
        <v>16000.0</v>
      </c>
      <c r="D310" s="1">
        <v>0.0</v>
      </c>
      <c r="E310" s="1">
        <v>6000.0</v>
      </c>
      <c r="F310" s="1">
        <v>0.0</v>
      </c>
      <c r="G310" s="1">
        <v>697500.0</v>
      </c>
    </row>
    <row r="311">
      <c r="A311" s="2">
        <v>45835.0</v>
      </c>
      <c r="B311" s="1">
        <v>474700.0</v>
      </c>
      <c r="C311" s="1">
        <v>28000.0</v>
      </c>
      <c r="D311" s="1">
        <v>0.0</v>
      </c>
      <c r="E311" s="1">
        <v>0.0</v>
      </c>
      <c r="F311" s="1">
        <v>0.0</v>
      </c>
      <c r="G311" s="1">
        <v>502700.0</v>
      </c>
    </row>
    <row r="312">
      <c r="A312" s="2">
        <v>45836.0</v>
      </c>
      <c r="B312" s="1">
        <v>223500.0</v>
      </c>
      <c r="C312" s="1">
        <v>0.0</v>
      </c>
      <c r="D312" s="1">
        <v>0.0</v>
      </c>
      <c r="E312" s="1">
        <v>0.0</v>
      </c>
      <c r="F312" s="1">
        <v>0.0</v>
      </c>
      <c r="G312" s="1">
        <v>223500.0</v>
      </c>
    </row>
    <row r="313">
      <c r="A313" s="2">
        <v>45837.0</v>
      </c>
      <c r="B313" s="1">
        <v>434800.0</v>
      </c>
      <c r="C313" s="1">
        <v>12000.0</v>
      </c>
      <c r="D313" s="1">
        <v>0.0</v>
      </c>
      <c r="E313" s="1">
        <v>0.0</v>
      </c>
      <c r="F313" s="1">
        <v>16000.0</v>
      </c>
      <c r="G313" s="1">
        <v>462800.0</v>
      </c>
    </row>
    <row r="314">
      <c r="A314" s="2">
        <v>45838.0</v>
      </c>
      <c r="B314" s="1">
        <v>313300.0</v>
      </c>
      <c r="C314" s="1">
        <v>16000.0</v>
      </c>
      <c r="D314" s="1">
        <v>0.0</v>
      </c>
      <c r="E314" s="1">
        <v>3000.0</v>
      </c>
      <c r="F314" s="1">
        <v>0.0</v>
      </c>
      <c r="G314" s="1">
        <v>332300.0</v>
      </c>
    </row>
    <row r="315">
      <c r="A315" s="2">
        <v>45839.0</v>
      </c>
      <c r="B315" s="1">
        <v>309100.0</v>
      </c>
      <c r="C315" s="1">
        <v>0.0</v>
      </c>
      <c r="D315" s="1">
        <v>0.0</v>
      </c>
      <c r="E315" s="1">
        <v>0.0</v>
      </c>
      <c r="F315" s="1">
        <v>0.0</v>
      </c>
      <c r="G315" s="1">
        <v>309100.0</v>
      </c>
    </row>
    <row r="316">
      <c r="A316" s="2">
        <v>45840.0</v>
      </c>
      <c r="B316" s="1">
        <v>475900.0</v>
      </c>
      <c r="C316" s="1">
        <v>36000.0</v>
      </c>
      <c r="D316" s="1">
        <v>0.0</v>
      </c>
      <c r="E316" s="1">
        <v>18000.0</v>
      </c>
      <c r="F316" s="1">
        <v>0.0</v>
      </c>
      <c r="G316" s="1">
        <v>529900.0</v>
      </c>
    </row>
    <row r="317">
      <c r="A317" s="2">
        <v>45841.0</v>
      </c>
      <c r="B317" s="1">
        <v>399500.0</v>
      </c>
      <c r="C317" s="1">
        <v>12000.0</v>
      </c>
      <c r="D317" s="1">
        <v>0.0</v>
      </c>
      <c r="E317" s="1">
        <v>0.0</v>
      </c>
      <c r="F317" s="1">
        <v>0.0</v>
      </c>
      <c r="G317" s="1">
        <v>411500.0</v>
      </c>
    </row>
    <row r="318">
      <c r="A318" s="2">
        <v>45842.0</v>
      </c>
      <c r="B318" s="1">
        <v>345000.0</v>
      </c>
      <c r="C318" s="1">
        <v>32000.0</v>
      </c>
      <c r="D318" s="1">
        <v>0.0</v>
      </c>
      <c r="E318" s="1">
        <v>3000.0</v>
      </c>
      <c r="F318" s="1">
        <v>0.0</v>
      </c>
      <c r="G318" s="1">
        <v>380000.0</v>
      </c>
    </row>
    <row r="319">
      <c r="A319" s="2">
        <v>45843.0</v>
      </c>
      <c r="B319" s="1">
        <v>327000.0</v>
      </c>
      <c r="C319" s="1">
        <v>12000.0</v>
      </c>
      <c r="D319" s="1">
        <v>0.0</v>
      </c>
      <c r="E319" s="1">
        <v>0.0</v>
      </c>
      <c r="F319" s="1">
        <v>0.0</v>
      </c>
      <c r="G319" s="1">
        <v>339000.0</v>
      </c>
    </row>
    <row r="320">
      <c r="A320" s="2">
        <v>45844.0</v>
      </c>
      <c r="B320" s="1">
        <v>431600.0</v>
      </c>
      <c r="C320" s="1">
        <v>0.0</v>
      </c>
      <c r="D320" s="1">
        <v>0.0</v>
      </c>
      <c r="E320" s="1">
        <v>12000.0</v>
      </c>
      <c r="F320" s="1">
        <v>0.0</v>
      </c>
      <c r="G320" s="1">
        <v>443600.0</v>
      </c>
    </row>
    <row r="321">
      <c r="A321" s="2">
        <v>45845.0</v>
      </c>
      <c r="B321" s="1">
        <v>325100.0</v>
      </c>
      <c r="C321" s="1">
        <v>0.0</v>
      </c>
      <c r="D321" s="1">
        <v>0.0</v>
      </c>
      <c r="E321" s="1">
        <v>0.0</v>
      </c>
      <c r="F321" s="1">
        <v>0.0</v>
      </c>
      <c r="G321" s="1">
        <v>325100.0</v>
      </c>
    </row>
    <row r="322">
      <c r="A322" s="2">
        <v>45846.0</v>
      </c>
      <c r="B322" s="1">
        <v>473500.0</v>
      </c>
      <c r="C322" s="1">
        <v>0.0</v>
      </c>
      <c r="D322" s="1">
        <v>0.0</v>
      </c>
      <c r="E322" s="1">
        <v>0.0</v>
      </c>
      <c r="F322" s="1">
        <v>0.0</v>
      </c>
      <c r="G322" s="1">
        <v>473500.0</v>
      </c>
    </row>
    <row r="323">
      <c r="A323" s="2">
        <v>45847.0</v>
      </c>
      <c r="B323" s="1">
        <v>473800.0</v>
      </c>
      <c r="C323" s="1">
        <v>0.0</v>
      </c>
      <c r="D323" s="1">
        <v>7000.0</v>
      </c>
      <c r="E323" s="1">
        <v>12000.0</v>
      </c>
      <c r="F323" s="1">
        <v>0.0</v>
      </c>
      <c r="G323" s="1">
        <v>492800.0</v>
      </c>
    </row>
    <row r="324">
      <c r="A324" s="2">
        <v>45848.0</v>
      </c>
      <c r="B324" s="1">
        <v>294300.0</v>
      </c>
      <c r="C324" s="1">
        <v>8000.0</v>
      </c>
      <c r="D324" s="1">
        <v>0.0</v>
      </c>
      <c r="E324" s="1">
        <v>0.0</v>
      </c>
      <c r="F324" s="1">
        <v>0.0</v>
      </c>
      <c r="G324" s="1">
        <v>302300.0</v>
      </c>
    </row>
    <row r="325">
      <c r="A325" s="2">
        <v>45849.0</v>
      </c>
      <c r="B325" s="1">
        <v>415400.0</v>
      </c>
      <c r="C325" s="1">
        <v>20000.0</v>
      </c>
      <c r="D325" s="1">
        <v>0.0</v>
      </c>
      <c r="E325" s="1">
        <v>0.0</v>
      </c>
      <c r="F325" s="1">
        <v>0.0</v>
      </c>
      <c r="G325" s="1">
        <v>435400.0</v>
      </c>
    </row>
    <row r="326">
      <c r="A326" s="2">
        <v>45850.0</v>
      </c>
      <c r="B326" s="1">
        <v>449400.0</v>
      </c>
      <c r="C326" s="1">
        <v>12000.0</v>
      </c>
      <c r="D326" s="1">
        <v>0.0</v>
      </c>
      <c r="E326" s="1">
        <v>12000.0</v>
      </c>
      <c r="F326" s="1">
        <v>0.0</v>
      </c>
      <c r="G326" s="1">
        <v>473400.0</v>
      </c>
    </row>
    <row r="327">
      <c r="A327" s="2">
        <v>45851.0</v>
      </c>
      <c r="B327" s="1">
        <v>361400.0</v>
      </c>
      <c r="C327" s="1">
        <v>14000.0</v>
      </c>
      <c r="D327" s="1">
        <v>0.0</v>
      </c>
      <c r="E327" s="1">
        <v>12000.0</v>
      </c>
      <c r="F327" s="1">
        <v>0.0</v>
      </c>
      <c r="G327" s="1">
        <v>387400.0</v>
      </c>
    </row>
    <row r="328">
      <c r="A328" s="2">
        <v>45852.0</v>
      </c>
      <c r="B328" s="1">
        <v>358800.0</v>
      </c>
      <c r="C328" s="1">
        <v>4000.0</v>
      </c>
      <c r="D328" s="1">
        <v>0.0</v>
      </c>
      <c r="E328" s="1">
        <v>0.0</v>
      </c>
      <c r="F328" s="1">
        <v>0.0</v>
      </c>
      <c r="G328" s="1">
        <v>362800.0</v>
      </c>
    </row>
    <row r="329">
      <c r="A329" s="2">
        <v>45853.0</v>
      </c>
      <c r="B329" s="1">
        <v>503000.0</v>
      </c>
      <c r="C329" s="1">
        <v>24000.0</v>
      </c>
      <c r="D329" s="1">
        <v>0.0</v>
      </c>
      <c r="E329" s="1">
        <v>27000.0</v>
      </c>
      <c r="F329" s="1">
        <v>0.0</v>
      </c>
      <c r="G329" s="1">
        <v>554000.0</v>
      </c>
    </row>
    <row r="330">
      <c r="A330" s="2">
        <v>45854.0</v>
      </c>
      <c r="B330" s="1">
        <v>313500.0</v>
      </c>
      <c r="C330" s="1">
        <v>12000.0</v>
      </c>
      <c r="D330" s="1">
        <v>0.0</v>
      </c>
      <c r="E330" s="1">
        <v>0.0</v>
      </c>
      <c r="F330" s="1">
        <v>0.0</v>
      </c>
      <c r="G330" s="1">
        <v>325500.0</v>
      </c>
    </row>
    <row r="331">
      <c r="A331" s="2">
        <v>45855.0</v>
      </c>
      <c r="B331" s="1">
        <v>309100.0</v>
      </c>
      <c r="C331" s="1">
        <v>30000.0</v>
      </c>
      <c r="D331" s="1">
        <v>0.0</v>
      </c>
      <c r="E331" s="1">
        <v>6000.0</v>
      </c>
      <c r="F331" s="1">
        <v>0.0</v>
      </c>
      <c r="G331" s="1">
        <v>345100.0</v>
      </c>
    </row>
    <row r="332">
      <c r="A332" s="2">
        <v>45856.0</v>
      </c>
      <c r="B332" s="1">
        <v>607600.0</v>
      </c>
      <c r="C332" s="1">
        <v>30000.0</v>
      </c>
      <c r="D332" s="1">
        <v>9000.0</v>
      </c>
      <c r="E332" s="1">
        <v>9000.0</v>
      </c>
      <c r="F332" s="1">
        <v>0.0</v>
      </c>
      <c r="G332" s="1">
        <v>655600.0</v>
      </c>
    </row>
    <row r="333">
      <c r="A333" s="2">
        <v>45857.0</v>
      </c>
      <c r="B333" s="1">
        <v>630200.0</v>
      </c>
      <c r="C333" s="1">
        <v>12000.0</v>
      </c>
      <c r="D333" s="1">
        <v>0.0</v>
      </c>
      <c r="E333" s="1">
        <v>21000.0</v>
      </c>
      <c r="F333" s="1">
        <v>0.0</v>
      </c>
      <c r="G333" s="1">
        <v>663200.0</v>
      </c>
    </row>
    <row r="334">
      <c r="A334" s="2">
        <v>45858.0</v>
      </c>
      <c r="B334" s="1">
        <v>231700.0</v>
      </c>
      <c r="C334" s="1">
        <v>8000.0</v>
      </c>
      <c r="D334" s="1">
        <v>0.0</v>
      </c>
      <c r="E334" s="1">
        <v>27000.0</v>
      </c>
      <c r="F334" s="1">
        <v>0.0</v>
      </c>
      <c r="G334" s="1">
        <v>266700.0</v>
      </c>
    </row>
    <row r="335">
      <c r="A335" s="2">
        <v>45859.0</v>
      </c>
      <c r="B335" s="1">
        <v>310500.0</v>
      </c>
      <c r="C335" s="1">
        <v>15000.0</v>
      </c>
      <c r="D335" s="1">
        <v>0.0</v>
      </c>
      <c r="E335" s="1">
        <v>12000.0</v>
      </c>
      <c r="F335" s="1">
        <v>0.0</v>
      </c>
      <c r="G335" s="1">
        <v>337500.0</v>
      </c>
    </row>
    <row r="336">
      <c r="A336" s="2">
        <v>45860.0</v>
      </c>
      <c r="B336" s="1">
        <v>405000.0</v>
      </c>
      <c r="C336" s="1">
        <v>36000.0</v>
      </c>
      <c r="D336" s="1">
        <v>10000.0</v>
      </c>
      <c r="E336" s="1">
        <v>6000.0</v>
      </c>
      <c r="F336" s="1">
        <v>0.0</v>
      </c>
      <c r="G336" s="1">
        <v>457000.0</v>
      </c>
    </row>
    <row r="337">
      <c r="A337" s="2">
        <v>45861.0</v>
      </c>
      <c r="B337" s="1">
        <v>413000.0</v>
      </c>
      <c r="C337" s="1">
        <v>30000.0</v>
      </c>
      <c r="D337" s="1">
        <v>0.0</v>
      </c>
      <c r="E337" s="1">
        <v>12000.0</v>
      </c>
      <c r="F337" s="1">
        <v>0.0</v>
      </c>
      <c r="G337" s="1">
        <v>455000.0</v>
      </c>
    </row>
    <row r="338">
      <c r="A338" s="2">
        <v>45862.0</v>
      </c>
      <c r="B338" s="1">
        <v>380100.0</v>
      </c>
      <c r="C338" s="1">
        <v>0.0</v>
      </c>
      <c r="D338" s="1">
        <v>0.0</v>
      </c>
      <c r="E338" s="1">
        <v>12000.0</v>
      </c>
      <c r="F338" s="1">
        <v>0.0</v>
      </c>
      <c r="G338" s="1">
        <v>392100.0</v>
      </c>
    </row>
    <row r="339">
      <c r="A339" s="2">
        <v>45863.0</v>
      </c>
      <c r="B339" s="1">
        <v>523500.0</v>
      </c>
      <c r="C339" s="1">
        <v>12000.0</v>
      </c>
      <c r="D339" s="1">
        <v>0.0</v>
      </c>
      <c r="E339" s="1">
        <v>6000.0</v>
      </c>
      <c r="F339" s="1">
        <v>0.0</v>
      </c>
      <c r="G339" s="1">
        <v>541500.0</v>
      </c>
    </row>
    <row r="340">
      <c r="A340" s="2">
        <v>45864.0</v>
      </c>
      <c r="B340" s="1">
        <v>386700.0</v>
      </c>
      <c r="C340" s="1">
        <v>14000.0</v>
      </c>
      <c r="D340" s="1">
        <v>0.0</v>
      </c>
      <c r="E340" s="1">
        <v>12000.0</v>
      </c>
      <c r="F340" s="1">
        <v>0.0</v>
      </c>
      <c r="G340" s="1">
        <v>412700.0</v>
      </c>
    </row>
    <row r="341">
      <c r="A341" s="2">
        <v>45865.0</v>
      </c>
      <c r="B341" s="1">
        <v>392100.0</v>
      </c>
      <c r="C341" s="1">
        <v>12000.0</v>
      </c>
      <c r="D341" s="1">
        <v>0.0</v>
      </c>
      <c r="E341" s="1">
        <v>12000.0</v>
      </c>
      <c r="F341" s="1">
        <v>0.0</v>
      </c>
      <c r="G341" s="1">
        <v>416100.0</v>
      </c>
    </row>
    <row r="342">
      <c r="A342" s="2">
        <v>45866.0</v>
      </c>
      <c r="B342" s="1">
        <v>344900.0</v>
      </c>
      <c r="C342" s="1">
        <v>3000.0</v>
      </c>
      <c r="D342" s="1">
        <v>0.0</v>
      </c>
      <c r="E342" s="1">
        <v>18000.0</v>
      </c>
      <c r="F342" s="1">
        <v>0.0</v>
      </c>
      <c r="G342" s="1">
        <v>365900.0</v>
      </c>
    </row>
    <row r="343">
      <c r="A343" s="2">
        <v>45867.0</v>
      </c>
      <c r="B343" s="1">
        <v>400400.0</v>
      </c>
      <c r="C343" s="1">
        <v>25000.0</v>
      </c>
      <c r="D343" s="1">
        <v>0.0</v>
      </c>
      <c r="E343" s="1">
        <v>21000.0</v>
      </c>
      <c r="F343" s="1">
        <v>0.0</v>
      </c>
      <c r="G343" s="1">
        <v>446400.0</v>
      </c>
    </row>
    <row r="344">
      <c r="A344" s="2">
        <v>45868.0</v>
      </c>
      <c r="B344" s="1">
        <v>345500.0</v>
      </c>
      <c r="C344" s="1">
        <v>0.0</v>
      </c>
      <c r="D344" s="1">
        <v>0.0</v>
      </c>
      <c r="E344" s="1">
        <v>0.0</v>
      </c>
      <c r="F344" s="1">
        <v>0.0</v>
      </c>
      <c r="G344" s="1">
        <v>345500.0</v>
      </c>
    </row>
    <row r="345">
      <c r="A345" s="2">
        <v>45869.0</v>
      </c>
      <c r="B345" s="1">
        <v>350800.0</v>
      </c>
      <c r="C345" s="1">
        <v>0.0</v>
      </c>
      <c r="D345" s="1">
        <v>0.0</v>
      </c>
      <c r="E345" s="1">
        <v>0.0</v>
      </c>
      <c r="F345" s="1">
        <v>0.0</v>
      </c>
      <c r="G345" s="1">
        <v>350800.0</v>
      </c>
    </row>
    <row r="346">
      <c r="A346" s="2">
        <v>45870.0</v>
      </c>
      <c r="B346" s="1">
        <v>458900.0</v>
      </c>
      <c r="C346" s="1">
        <v>57000.0</v>
      </c>
      <c r="D346" s="1">
        <v>0.0</v>
      </c>
      <c r="E346" s="1">
        <v>0.0</v>
      </c>
      <c r="F346" s="1">
        <v>0.0</v>
      </c>
      <c r="G346" s="1">
        <v>515900.0</v>
      </c>
    </row>
    <row r="347">
      <c r="A347" s="2">
        <v>45871.0</v>
      </c>
      <c r="B347" s="1">
        <v>261800.0</v>
      </c>
      <c r="C347" s="1">
        <v>18000.0</v>
      </c>
      <c r="D347" s="1">
        <v>0.0</v>
      </c>
      <c r="E347" s="1">
        <v>3000.0</v>
      </c>
      <c r="F347" s="1">
        <v>0.0</v>
      </c>
      <c r="G347" s="1">
        <v>282800.0</v>
      </c>
    </row>
    <row r="348">
      <c r="A348" s="2">
        <v>45872.0</v>
      </c>
      <c r="B348" s="1">
        <v>441300.0</v>
      </c>
      <c r="C348" s="1">
        <v>36000.0</v>
      </c>
      <c r="D348" s="1">
        <v>0.0</v>
      </c>
      <c r="E348" s="1">
        <v>12000.0</v>
      </c>
      <c r="F348" s="1">
        <v>0.0</v>
      </c>
      <c r="G348" s="1">
        <v>489300.0</v>
      </c>
    </row>
    <row r="349">
      <c r="A349" s="2">
        <v>45873.0</v>
      </c>
      <c r="B349" s="1">
        <v>206600.0</v>
      </c>
      <c r="C349" s="1">
        <v>20000.0</v>
      </c>
      <c r="D349" s="1">
        <v>0.0</v>
      </c>
      <c r="E349" s="1">
        <v>6000.0</v>
      </c>
      <c r="F349" s="1">
        <v>0.0</v>
      </c>
      <c r="G349" s="1">
        <v>232600.0</v>
      </c>
    </row>
    <row r="350">
      <c r="A350" s="2">
        <v>45874.0</v>
      </c>
      <c r="B350" s="1">
        <v>381400.0</v>
      </c>
      <c r="C350" s="1">
        <v>24000.0</v>
      </c>
      <c r="D350" s="1">
        <v>0.0</v>
      </c>
      <c r="E350" s="1">
        <v>15000.0</v>
      </c>
      <c r="F350" s="1">
        <v>0.0</v>
      </c>
      <c r="G350" s="1">
        <v>420400.0</v>
      </c>
    </row>
    <row r="351">
      <c r="A351" s="2">
        <v>45875.0</v>
      </c>
      <c r="B351" s="1">
        <v>407400.0</v>
      </c>
      <c r="C351" s="1">
        <v>0.0</v>
      </c>
      <c r="D351" s="1">
        <v>0.0</v>
      </c>
      <c r="E351" s="1">
        <v>0.0</v>
      </c>
      <c r="F351" s="1">
        <v>0.0</v>
      </c>
      <c r="G351" s="1">
        <v>407400.0</v>
      </c>
    </row>
    <row r="352">
      <c r="A352" s="2">
        <v>45876.0</v>
      </c>
      <c r="B352" s="1">
        <v>260900.0</v>
      </c>
      <c r="C352" s="1">
        <v>0.0</v>
      </c>
      <c r="D352" s="1">
        <v>0.0</v>
      </c>
      <c r="E352" s="1">
        <v>6000.0</v>
      </c>
      <c r="F352" s="1">
        <v>0.0</v>
      </c>
      <c r="G352" s="1">
        <v>266900.0</v>
      </c>
    </row>
    <row r="353">
      <c r="A353" s="2">
        <v>45877.0</v>
      </c>
      <c r="B353" s="1">
        <v>373700.0</v>
      </c>
      <c r="C353" s="1">
        <v>27000.0</v>
      </c>
      <c r="D353" s="1">
        <v>0.0</v>
      </c>
      <c r="E353" s="1">
        <v>9000.0</v>
      </c>
      <c r="F353" s="1">
        <v>0.0</v>
      </c>
      <c r="G353" s="1">
        <v>409700.0</v>
      </c>
    </row>
    <row r="354">
      <c r="A354" s="2">
        <v>45878.0</v>
      </c>
      <c r="B354" s="1">
        <v>438900.0</v>
      </c>
      <c r="C354" s="1">
        <v>0.0</v>
      </c>
      <c r="D354" s="1">
        <v>0.0</v>
      </c>
      <c r="E354" s="1">
        <v>9000.0</v>
      </c>
      <c r="F354" s="1">
        <v>0.0</v>
      </c>
      <c r="G354" s="1">
        <v>447900.0</v>
      </c>
    </row>
    <row r="355">
      <c r="A355" s="2">
        <v>45879.0</v>
      </c>
      <c r="B355" s="1">
        <v>323600.0</v>
      </c>
      <c r="C355" s="1">
        <v>12000.0</v>
      </c>
      <c r="D355" s="1">
        <v>0.0</v>
      </c>
      <c r="E355" s="1">
        <v>27000.0</v>
      </c>
      <c r="F355" s="1">
        <v>0.0</v>
      </c>
      <c r="G355" s="1">
        <v>362600.0</v>
      </c>
    </row>
    <row r="356">
      <c r="A356" s="2">
        <v>45880.0</v>
      </c>
      <c r="B356" s="1">
        <v>343400.0</v>
      </c>
      <c r="C356" s="1">
        <v>12000.0</v>
      </c>
      <c r="D356" s="1">
        <v>0.0</v>
      </c>
      <c r="E356" s="1">
        <v>24000.0</v>
      </c>
      <c r="F356" s="1">
        <v>0.0</v>
      </c>
      <c r="G356" s="1">
        <v>379400.0</v>
      </c>
    </row>
    <row r="357">
      <c r="A357" s="2">
        <v>45881.0</v>
      </c>
      <c r="B357" s="1">
        <v>410900.0</v>
      </c>
      <c r="C357" s="1">
        <v>6000.0</v>
      </c>
      <c r="D357" s="1">
        <v>9000.0</v>
      </c>
      <c r="E357" s="1">
        <v>0.0</v>
      </c>
      <c r="F357" s="1">
        <v>0.0</v>
      </c>
      <c r="G357" s="1">
        <v>425900.0</v>
      </c>
    </row>
    <row r="358">
      <c r="A358" s="2">
        <v>45882.0</v>
      </c>
      <c r="B358" s="1">
        <v>345200.0</v>
      </c>
      <c r="C358" s="1">
        <v>6000.0</v>
      </c>
      <c r="D358" s="1">
        <v>0.0</v>
      </c>
      <c r="E358" s="1">
        <v>9000.0</v>
      </c>
      <c r="F358" s="1">
        <v>0.0</v>
      </c>
      <c r="G358" s="1">
        <v>360200.0</v>
      </c>
    </row>
    <row r="359">
      <c r="A359" s="2">
        <v>45883.0</v>
      </c>
      <c r="B359" s="1">
        <v>324900.0</v>
      </c>
      <c r="C359" s="1">
        <v>32000.0</v>
      </c>
      <c r="D359" s="1">
        <v>0.0</v>
      </c>
      <c r="E359" s="1">
        <v>12000.0</v>
      </c>
      <c r="F359" s="1">
        <v>0.0</v>
      </c>
      <c r="G359" s="1">
        <v>368900.0</v>
      </c>
    </row>
    <row r="360">
      <c r="A360" s="2">
        <v>45884.0</v>
      </c>
      <c r="B360" s="1">
        <v>511300.0</v>
      </c>
      <c r="C360" s="1">
        <v>42000.0</v>
      </c>
      <c r="D360" s="1">
        <v>0.0</v>
      </c>
      <c r="E360" s="1">
        <v>3000.0</v>
      </c>
      <c r="F360" s="1">
        <v>0.0</v>
      </c>
      <c r="G360" s="1">
        <v>556300.0</v>
      </c>
    </row>
    <row r="361">
      <c r="A361" s="2">
        <v>45885.0</v>
      </c>
      <c r="B361" s="1">
        <v>347400.0</v>
      </c>
      <c r="C361" s="1">
        <v>3000.0</v>
      </c>
      <c r="D361" s="1">
        <v>0.0</v>
      </c>
      <c r="E361" s="1">
        <v>0.0</v>
      </c>
      <c r="F361" s="1">
        <v>0.0</v>
      </c>
      <c r="G361" s="1">
        <v>350400.0</v>
      </c>
    </row>
    <row r="362">
      <c r="A362" s="2">
        <v>45886.0</v>
      </c>
      <c r="B362" s="1">
        <v>345900.0</v>
      </c>
      <c r="C362" s="1">
        <v>24000.0</v>
      </c>
      <c r="D362" s="1">
        <v>0.0</v>
      </c>
      <c r="E362" s="1">
        <v>6000.0</v>
      </c>
      <c r="F362" s="1">
        <v>0.0</v>
      </c>
      <c r="G362" s="1">
        <v>375900.0</v>
      </c>
    </row>
    <row r="363">
      <c r="A363" s="2">
        <v>45887.0</v>
      </c>
      <c r="B363" s="1">
        <v>434200.0</v>
      </c>
      <c r="C363" s="1">
        <v>24000.0</v>
      </c>
      <c r="D363" s="1">
        <v>0.0</v>
      </c>
      <c r="E363" s="1">
        <v>3000.0</v>
      </c>
      <c r="F363" s="1">
        <v>0.0</v>
      </c>
      <c r="G363" s="1">
        <v>461200.0</v>
      </c>
    </row>
    <row r="364">
      <c r="A364" s="2">
        <v>45888.0</v>
      </c>
      <c r="B364" s="1">
        <v>680400.0</v>
      </c>
      <c r="C364" s="1">
        <v>21000.0</v>
      </c>
      <c r="D364" s="1">
        <v>0.0</v>
      </c>
      <c r="E364" s="1">
        <v>27000.0</v>
      </c>
      <c r="F364" s="1">
        <v>0.0</v>
      </c>
      <c r="G364" s="1">
        <v>728400.0</v>
      </c>
    </row>
    <row r="365">
      <c r="A365" s="2">
        <v>45889.0</v>
      </c>
      <c r="B365" s="1">
        <v>416100.0</v>
      </c>
      <c r="C365" s="1">
        <v>24000.0</v>
      </c>
      <c r="D365" s="1">
        <v>0.0</v>
      </c>
      <c r="E365" s="1">
        <v>9000.0</v>
      </c>
      <c r="F365" s="1">
        <v>0.0</v>
      </c>
      <c r="G365" s="1">
        <v>449100.0</v>
      </c>
    </row>
    <row r="366">
      <c r="A366" s="2">
        <v>45890.0</v>
      </c>
      <c r="B366" s="1">
        <v>389700.0</v>
      </c>
      <c r="C366" s="1">
        <v>0.0</v>
      </c>
      <c r="D366" s="1">
        <v>0.0</v>
      </c>
      <c r="E366" s="1">
        <v>0.0</v>
      </c>
      <c r="F366" s="1">
        <v>0.0</v>
      </c>
      <c r="G366" s="1">
        <v>389700.0</v>
      </c>
    </row>
    <row r="367">
      <c r="A367" s="2">
        <v>45891.0</v>
      </c>
      <c r="B367" s="1">
        <v>411000.0</v>
      </c>
      <c r="C367" s="1">
        <v>12000.0</v>
      </c>
      <c r="D367" s="1">
        <v>0.0</v>
      </c>
      <c r="E367" s="1">
        <v>3000.0</v>
      </c>
      <c r="F367" s="1">
        <v>0.0</v>
      </c>
      <c r="G367" s="1">
        <v>426000.0</v>
      </c>
    </row>
    <row r="368">
      <c r="A368" s="2">
        <v>45892.0</v>
      </c>
      <c r="B368" s="1">
        <v>344900.0</v>
      </c>
      <c r="C368" s="1">
        <v>6000.0</v>
      </c>
      <c r="D368" s="1">
        <v>0.0</v>
      </c>
      <c r="E368" s="1">
        <v>6000.0</v>
      </c>
      <c r="F368" s="1">
        <v>0.0</v>
      </c>
      <c r="G368" s="1">
        <v>356900.0</v>
      </c>
    </row>
    <row r="369">
      <c r="A369" s="2">
        <v>45893.0</v>
      </c>
      <c r="B369" s="1">
        <v>340900.0</v>
      </c>
      <c r="C369" s="1">
        <v>18000.0</v>
      </c>
      <c r="D369" s="1">
        <v>0.0</v>
      </c>
      <c r="E369" s="1">
        <v>18000.0</v>
      </c>
      <c r="F369" s="1">
        <v>0.0</v>
      </c>
      <c r="G369" s="1">
        <v>376900.0</v>
      </c>
    </row>
    <row r="370">
      <c r="A370" s="2">
        <v>45894.0</v>
      </c>
      <c r="B370" s="1">
        <v>316900.0</v>
      </c>
      <c r="C370" s="1">
        <v>36000.0</v>
      </c>
      <c r="D370" s="1">
        <v>9000.0</v>
      </c>
      <c r="E370" s="1">
        <v>3000.0</v>
      </c>
      <c r="F370" s="1">
        <v>0.0</v>
      </c>
      <c r="G370" s="1">
        <v>364900.0</v>
      </c>
    </row>
    <row r="371">
      <c r="A371" s="2">
        <v>45895.0</v>
      </c>
      <c r="B371" s="1">
        <v>424000.0</v>
      </c>
      <c r="C371" s="1">
        <v>12000.0</v>
      </c>
      <c r="D371" s="1">
        <v>9000.0</v>
      </c>
      <c r="E371" s="1">
        <v>0.0</v>
      </c>
      <c r="F371" s="1">
        <v>0.0</v>
      </c>
      <c r="G371" s="1">
        <v>445000.0</v>
      </c>
    </row>
    <row r="372">
      <c r="A372" s="2">
        <v>45896.0</v>
      </c>
      <c r="B372" s="1">
        <v>307400.0</v>
      </c>
      <c r="C372" s="1">
        <v>12000.0</v>
      </c>
      <c r="D372" s="1">
        <v>0.0</v>
      </c>
      <c r="E372" s="1">
        <v>0.0</v>
      </c>
      <c r="F372" s="1">
        <v>0.0</v>
      </c>
      <c r="G372" s="1">
        <v>319400.0</v>
      </c>
    </row>
    <row r="373">
      <c r="A373" s="2">
        <v>45897.0</v>
      </c>
      <c r="B373" s="1">
        <v>315100.0</v>
      </c>
      <c r="C373" s="1">
        <v>24000.0</v>
      </c>
      <c r="D373" s="1">
        <v>12000.0</v>
      </c>
      <c r="E373" s="1">
        <v>9000.0</v>
      </c>
      <c r="F373" s="1">
        <v>0.0</v>
      </c>
      <c r="G373" s="1">
        <v>360100.0</v>
      </c>
    </row>
    <row r="374">
      <c r="A374" s="2">
        <v>45898.0</v>
      </c>
      <c r="B374" s="1">
        <v>387100.0</v>
      </c>
      <c r="C374" s="1">
        <v>6000.0</v>
      </c>
      <c r="D374" s="1">
        <v>0.0</v>
      </c>
      <c r="E374" s="1">
        <v>12000.0</v>
      </c>
      <c r="F374" s="1">
        <v>0.0</v>
      </c>
      <c r="G374" s="1">
        <v>405100.0</v>
      </c>
    </row>
    <row r="375">
      <c r="A375" s="2">
        <v>45899.0</v>
      </c>
      <c r="B375" s="1">
        <v>313600.0</v>
      </c>
      <c r="C375" s="1">
        <v>0.0</v>
      </c>
      <c r="D375" s="1">
        <v>0.0</v>
      </c>
      <c r="E375" s="1">
        <v>0.0</v>
      </c>
      <c r="F375" s="1">
        <v>0.0</v>
      </c>
      <c r="G375" s="1">
        <v>313600.0</v>
      </c>
    </row>
    <row r="376">
      <c r="A376" s="2">
        <v>45900.0</v>
      </c>
      <c r="B376" s="1">
        <v>321500.0</v>
      </c>
      <c r="C376" s="1">
        <v>0.0</v>
      </c>
      <c r="D376" s="1">
        <v>0.0</v>
      </c>
      <c r="E376" s="1">
        <v>0.0</v>
      </c>
      <c r="F376" s="1">
        <v>0.0</v>
      </c>
      <c r="G376" s="1">
        <v>321500.0</v>
      </c>
    </row>
    <row r="377">
      <c r="A377" s="2">
        <v>45901.0</v>
      </c>
      <c r="B377" s="1">
        <v>478000.0</v>
      </c>
      <c r="C377" s="1">
        <v>0.0</v>
      </c>
      <c r="D377" s="1">
        <v>0.0</v>
      </c>
      <c r="E377" s="1">
        <v>3000.0</v>
      </c>
      <c r="F377" s="1">
        <v>0.0</v>
      </c>
      <c r="G377" s="1">
        <v>481000.0</v>
      </c>
    </row>
    <row r="378">
      <c r="A378" s="2">
        <v>45902.0</v>
      </c>
      <c r="B378" s="1">
        <v>452600.0</v>
      </c>
      <c r="C378" s="1">
        <v>18000.0</v>
      </c>
      <c r="D378" s="1">
        <v>0.0</v>
      </c>
      <c r="E378" s="1">
        <v>9000.0</v>
      </c>
      <c r="F378" s="1">
        <v>0.0</v>
      </c>
      <c r="G378" s="1">
        <v>479600.0</v>
      </c>
    </row>
    <row r="379">
      <c r="A379" s="2">
        <v>45903.0</v>
      </c>
      <c r="B379" s="1">
        <v>560900.0</v>
      </c>
      <c r="C379" s="1">
        <v>0.0</v>
      </c>
      <c r="D379" s="1">
        <v>0.0</v>
      </c>
      <c r="E379" s="1">
        <v>0.0</v>
      </c>
      <c r="F379" s="1">
        <v>0.0</v>
      </c>
      <c r="G379" s="1">
        <v>560900.0</v>
      </c>
    </row>
    <row r="380">
      <c r="A380" s="2">
        <v>45904.0</v>
      </c>
      <c r="B380" s="1">
        <v>290800.0</v>
      </c>
      <c r="C380" s="1">
        <v>12000.0</v>
      </c>
      <c r="D380" s="1">
        <v>0.0</v>
      </c>
      <c r="E380" s="1">
        <v>12000.0</v>
      </c>
      <c r="F380" s="1">
        <v>0.0</v>
      </c>
      <c r="G380" s="1">
        <v>314800.0</v>
      </c>
    </row>
    <row r="381">
      <c r="A381" s="2">
        <v>45905.0</v>
      </c>
      <c r="B381" s="1">
        <v>583600.0</v>
      </c>
      <c r="C381" s="1">
        <v>12000.0</v>
      </c>
      <c r="D381" s="1">
        <v>0.0</v>
      </c>
      <c r="E381" s="1">
        <v>9000.0</v>
      </c>
      <c r="F381" s="1">
        <v>0.0</v>
      </c>
      <c r="G381" s="1">
        <v>604600.0</v>
      </c>
    </row>
    <row r="382">
      <c r="A382" s="2">
        <v>45906.0</v>
      </c>
      <c r="B382" s="1">
        <v>538600.0</v>
      </c>
      <c r="C382" s="1">
        <v>12000.0</v>
      </c>
      <c r="D382" s="1">
        <v>0.0</v>
      </c>
      <c r="E382" s="1">
        <v>0.0</v>
      </c>
      <c r="F382" s="1">
        <v>0.0</v>
      </c>
      <c r="G382" s="1">
        <v>550600.0</v>
      </c>
    </row>
    <row r="383">
      <c r="A383" s="2">
        <v>45907.0</v>
      </c>
      <c r="B383" s="1">
        <v>439000.0</v>
      </c>
      <c r="C383" s="1">
        <v>24000.0</v>
      </c>
      <c r="D383" s="1">
        <v>0.0</v>
      </c>
      <c r="E383" s="1">
        <v>3000.0</v>
      </c>
      <c r="F383" s="1">
        <v>1900.0</v>
      </c>
      <c r="G383" s="1">
        <v>467900.0</v>
      </c>
    </row>
    <row r="384">
      <c r="A384" s="2">
        <v>45908.0</v>
      </c>
      <c r="B384" s="1">
        <v>359500.0</v>
      </c>
      <c r="C384" s="1">
        <v>12000.0</v>
      </c>
      <c r="D384" s="1">
        <v>0.0</v>
      </c>
      <c r="E384" s="1">
        <v>12000.0</v>
      </c>
      <c r="F384" s="1">
        <v>0.0</v>
      </c>
      <c r="G384" s="1">
        <v>383500.0</v>
      </c>
    </row>
    <row r="385">
      <c r="A385" s="2">
        <v>45909.0</v>
      </c>
      <c r="B385" s="1">
        <v>288200.0</v>
      </c>
      <c r="C385" s="1">
        <v>6000.0</v>
      </c>
      <c r="D385" s="1">
        <v>0.0</v>
      </c>
      <c r="E385" s="1">
        <v>9000.0</v>
      </c>
      <c r="F385" s="1">
        <v>0.0</v>
      </c>
      <c r="G385" s="1">
        <v>303200.0</v>
      </c>
    </row>
    <row r="386">
      <c r="A386" s="2">
        <v>45910.0</v>
      </c>
      <c r="B386" s="1">
        <v>479100.0</v>
      </c>
      <c r="C386" s="1">
        <v>12000.0</v>
      </c>
      <c r="D386" s="1">
        <v>0.0</v>
      </c>
      <c r="E386" s="1">
        <v>3000.0</v>
      </c>
      <c r="F386" s="1">
        <v>0.0</v>
      </c>
      <c r="G386" s="1">
        <v>494100.0</v>
      </c>
    </row>
    <row r="387">
      <c r="A387" s="2">
        <v>45911.0</v>
      </c>
      <c r="B387" s="1">
        <v>437600.0</v>
      </c>
      <c r="C387" s="1">
        <v>18000.0</v>
      </c>
      <c r="D387" s="1">
        <v>0.0</v>
      </c>
      <c r="E387" s="1">
        <v>3000.0</v>
      </c>
      <c r="F387" s="1">
        <v>0.0</v>
      </c>
      <c r="G387" s="1">
        <v>458600.0</v>
      </c>
    </row>
    <row r="388">
      <c r="A388" s="2">
        <v>45912.0</v>
      </c>
      <c r="B388" s="1">
        <v>539100.0</v>
      </c>
      <c r="C388" s="1">
        <v>30000.0</v>
      </c>
      <c r="D388" s="1">
        <v>0.0</v>
      </c>
      <c r="E388" s="1">
        <v>24000.0</v>
      </c>
      <c r="F388" s="1">
        <v>0.0</v>
      </c>
      <c r="G388" s="1">
        <v>593100.0</v>
      </c>
    </row>
    <row r="389">
      <c r="A389" s="2">
        <v>45913.0</v>
      </c>
      <c r="B389" s="1">
        <v>478100.0</v>
      </c>
      <c r="C389" s="1">
        <v>18000.0</v>
      </c>
      <c r="D389" s="1">
        <v>0.0</v>
      </c>
      <c r="E389" s="1">
        <v>6000.0</v>
      </c>
      <c r="F389" s="1">
        <v>0.0</v>
      </c>
      <c r="G389" s="1">
        <v>502100.0</v>
      </c>
    </row>
    <row r="390">
      <c r="A390" s="2">
        <v>45914.0</v>
      </c>
      <c r="B390" s="1">
        <v>374700.0</v>
      </c>
      <c r="C390" s="1">
        <v>12000.0</v>
      </c>
      <c r="D390" s="1">
        <v>0.0</v>
      </c>
      <c r="E390" s="1">
        <v>6000.0</v>
      </c>
      <c r="F390" s="1">
        <v>0.0</v>
      </c>
      <c r="G390" s="1">
        <v>392700.0</v>
      </c>
    </row>
    <row r="391">
      <c r="A391" s="2">
        <v>45915.0</v>
      </c>
      <c r="B391" s="1">
        <v>449600.0</v>
      </c>
      <c r="C391" s="1">
        <v>30000.0</v>
      </c>
      <c r="D391" s="1">
        <v>0.0</v>
      </c>
      <c r="E391" s="1">
        <v>12000.0</v>
      </c>
      <c r="F391" s="1">
        <v>0.0</v>
      </c>
      <c r="G391" s="1">
        <v>491600.0</v>
      </c>
    </row>
    <row r="392">
      <c r="A392" s="2">
        <v>45916.0</v>
      </c>
      <c r="B392" s="1">
        <v>455500.0</v>
      </c>
      <c r="C392" s="1">
        <v>8000.0</v>
      </c>
      <c r="D392" s="1">
        <v>0.0</v>
      </c>
      <c r="E392" s="1">
        <v>0.0</v>
      </c>
      <c r="F392" s="1">
        <v>11700.0</v>
      </c>
      <c r="G392" s="1">
        <v>475200.0</v>
      </c>
    </row>
    <row r="393">
      <c r="A393" s="2">
        <v>45917.0</v>
      </c>
      <c r="B393" s="1">
        <v>506800.0</v>
      </c>
      <c r="C393" s="1">
        <v>18000.0</v>
      </c>
      <c r="D393" s="1">
        <v>0.0</v>
      </c>
      <c r="E393" s="1">
        <v>27000.0</v>
      </c>
      <c r="F393" s="1">
        <v>0.0</v>
      </c>
      <c r="G393" s="1">
        <v>551800.0</v>
      </c>
    </row>
    <row r="394">
      <c r="A394" s="2">
        <v>45918.0</v>
      </c>
      <c r="B394" s="1">
        <v>494500.0</v>
      </c>
      <c r="C394" s="1">
        <v>24000.0</v>
      </c>
      <c r="D394" s="1">
        <v>0.0</v>
      </c>
      <c r="E394" s="1">
        <v>3000.0</v>
      </c>
      <c r="F394" s="1">
        <v>0.0</v>
      </c>
      <c r="G394" s="1">
        <v>521500.0</v>
      </c>
    </row>
    <row r="395">
      <c r="A395" s="2">
        <v>45919.0</v>
      </c>
      <c r="B395" s="1">
        <v>532500.0</v>
      </c>
      <c r="C395" s="1">
        <v>-12000.0</v>
      </c>
      <c r="D395" s="1">
        <v>0.0</v>
      </c>
      <c r="E395" s="1">
        <v>0.0</v>
      </c>
      <c r="F395" s="1">
        <v>0.0</v>
      </c>
      <c r="G395" s="1">
        <v>520500.0</v>
      </c>
    </row>
    <row r="396">
      <c r="A396" s="2">
        <v>45920.0</v>
      </c>
      <c r="B396" s="1">
        <v>402100.0</v>
      </c>
      <c r="C396" s="1">
        <v>24000.0</v>
      </c>
      <c r="D396" s="1">
        <v>0.0</v>
      </c>
      <c r="E396" s="1">
        <v>18000.0</v>
      </c>
      <c r="F396" s="1">
        <v>0.0</v>
      </c>
      <c r="G396" s="1">
        <v>444100.0</v>
      </c>
    </row>
    <row r="397">
      <c r="A397" s="2">
        <v>45921.0</v>
      </c>
      <c r="B397" s="1">
        <v>430100.0</v>
      </c>
      <c r="C397" s="1">
        <v>0.0</v>
      </c>
      <c r="D397" s="1">
        <v>0.0</v>
      </c>
      <c r="E397" s="1">
        <v>9000.0</v>
      </c>
      <c r="F397" s="1">
        <v>0.0</v>
      </c>
      <c r="G397" s="1">
        <v>439100.0</v>
      </c>
    </row>
    <row r="398">
      <c r="A398" s="2">
        <v>45922.0</v>
      </c>
      <c r="B398" s="1">
        <v>324900.0</v>
      </c>
      <c r="C398" s="1">
        <v>24000.0</v>
      </c>
      <c r="D398" s="1">
        <v>0.0</v>
      </c>
      <c r="E398" s="1">
        <v>0.0</v>
      </c>
      <c r="F398" s="1">
        <v>0.0</v>
      </c>
      <c r="G398" s="1">
        <v>348900.0</v>
      </c>
    </row>
    <row r="399">
      <c r="A399" s="2">
        <v>45923.0</v>
      </c>
      <c r="B399" s="1">
        <v>416900.0</v>
      </c>
      <c r="C399" s="1">
        <v>12000.0</v>
      </c>
      <c r="D399" s="1">
        <v>0.0</v>
      </c>
      <c r="E399" s="1">
        <v>12000.0</v>
      </c>
      <c r="F399" s="1">
        <v>0.0</v>
      </c>
      <c r="G399" s="1">
        <v>440900.0</v>
      </c>
    </row>
    <row r="400">
      <c r="A400" s="2">
        <v>45924.0</v>
      </c>
      <c r="B400" s="1">
        <v>494600.0</v>
      </c>
      <c r="C400" s="1">
        <v>45000.0</v>
      </c>
      <c r="D400" s="1">
        <v>0.0</v>
      </c>
      <c r="E400" s="1">
        <v>0.0</v>
      </c>
      <c r="F400" s="1">
        <v>0.0</v>
      </c>
      <c r="G400" s="1">
        <v>539600.0</v>
      </c>
    </row>
    <row r="401">
      <c r="A401" s="2">
        <v>45925.0</v>
      </c>
      <c r="B401" s="1">
        <v>402600.0</v>
      </c>
      <c r="C401" s="1">
        <v>0.0</v>
      </c>
      <c r="D401" s="1">
        <v>0.0</v>
      </c>
      <c r="E401" s="1">
        <v>3000.0</v>
      </c>
      <c r="F401" s="1">
        <v>0.0</v>
      </c>
      <c r="G401" s="1">
        <v>405600.0</v>
      </c>
    </row>
    <row r="402">
      <c r="A402" s="2">
        <v>45926.0</v>
      </c>
      <c r="B402" s="1">
        <v>426400.0</v>
      </c>
      <c r="C402" s="1">
        <v>10000.0</v>
      </c>
      <c r="D402" s="1">
        <v>0.0</v>
      </c>
      <c r="E402" s="1">
        <v>0.0</v>
      </c>
      <c r="F402" s="1">
        <v>0.0</v>
      </c>
      <c r="G402" s="1">
        <v>436400.0</v>
      </c>
    </row>
    <row r="403">
      <c r="A403" s="2">
        <v>45927.0</v>
      </c>
      <c r="B403" s="1">
        <v>326200.0</v>
      </c>
      <c r="C403" s="1">
        <v>12000.0</v>
      </c>
      <c r="D403" s="1">
        <v>0.0</v>
      </c>
      <c r="E403" s="1">
        <v>0.0</v>
      </c>
      <c r="F403" s="1">
        <v>0.0</v>
      </c>
      <c r="G403" s="1">
        <v>338200.0</v>
      </c>
    </row>
    <row r="404">
      <c r="A404" s="2">
        <v>45928.0</v>
      </c>
      <c r="B404" s="1">
        <v>398500.0</v>
      </c>
      <c r="C404" s="1">
        <v>12000.0</v>
      </c>
      <c r="D404" s="1">
        <v>13000.0</v>
      </c>
      <c r="E404" s="1">
        <v>0.0</v>
      </c>
      <c r="F404" s="1">
        <v>0.0</v>
      </c>
      <c r="G404" s="1">
        <v>423500.0</v>
      </c>
    </row>
    <row r="405">
      <c r="A405" s="2">
        <v>45929.0</v>
      </c>
      <c r="B405" s="1">
        <v>125700.0</v>
      </c>
      <c r="C405" s="1">
        <v>6000.0</v>
      </c>
      <c r="D405" s="1">
        <v>0.0</v>
      </c>
      <c r="E405" s="1">
        <v>0.0</v>
      </c>
      <c r="F405" s="1">
        <v>0.0</v>
      </c>
      <c r="G405" s="1">
        <v>131700.0</v>
      </c>
    </row>
    <row r="406">
      <c r="A406" s="2">
        <v>45930.0</v>
      </c>
      <c r="B406" s="1">
        <v>275200.0</v>
      </c>
      <c r="C406" s="1">
        <v>0.0</v>
      </c>
      <c r="D406" s="1">
        <v>0.0</v>
      </c>
      <c r="E406" s="1">
        <v>6000.0</v>
      </c>
      <c r="F406" s="1">
        <v>0.0</v>
      </c>
      <c r="G406" s="1">
        <v>281200.0</v>
      </c>
    </row>
    <row r="407">
      <c r="A407" s="2">
        <v>45931.0</v>
      </c>
      <c r="B407" s="1">
        <v>423000.0</v>
      </c>
      <c r="C407" s="1">
        <v>18000.0</v>
      </c>
      <c r="D407" s="1">
        <v>15000.0</v>
      </c>
      <c r="E407" s="1">
        <v>3000.0</v>
      </c>
      <c r="F407" s="1">
        <v>0.0</v>
      </c>
      <c r="G407" s="1">
        <v>459000.0</v>
      </c>
    </row>
    <row r="408">
      <c r="A408" s="2">
        <v>45932.0</v>
      </c>
      <c r="B408" s="1">
        <v>312400.0</v>
      </c>
      <c r="C408" s="1">
        <v>6000.0</v>
      </c>
      <c r="D408" s="1">
        <v>0.0</v>
      </c>
      <c r="E408" s="1">
        <v>0.0</v>
      </c>
      <c r="F408" s="1">
        <v>0.0</v>
      </c>
      <c r="G408" s="1">
        <v>318400.0</v>
      </c>
    </row>
    <row r="409">
      <c r="A409" s="2">
        <v>45933.0</v>
      </c>
      <c r="B409" s="1">
        <v>338300.0</v>
      </c>
      <c r="C409" s="1">
        <v>20000.0</v>
      </c>
      <c r="D409" s="1">
        <v>0.0</v>
      </c>
      <c r="E409" s="1">
        <v>0.0</v>
      </c>
      <c r="F409" s="1">
        <v>0.0</v>
      </c>
      <c r="G409" s="1">
        <v>358300.0</v>
      </c>
    </row>
    <row r="410">
      <c r="A410" s="2">
        <v>45934.0</v>
      </c>
      <c r="B410" s="1">
        <v>311500.0</v>
      </c>
      <c r="C410" s="1">
        <v>0.0</v>
      </c>
      <c r="D410" s="1">
        <v>0.0</v>
      </c>
      <c r="E410" s="1">
        <v>0.0</v>
      </c>
      <c r="F410" s="1">
        <v>0.0</v>
      </c>
      <c r="G410" s="1">
        <v>311500.0</v>
      </c>
    </row>
    <row r="411">
      <c r="A411" s="2">
        <v>45935.0</v>
      </c>
      <c r="B411" s="1">
        <v>377100.0</v>
      </c>
      <c r="C411" s="1">
        <v>12000.0</v>
      </c>
      <c r="D411" s="1">
        <v>0.0</v>
      </c>
      <c r="E411" s="1">
        <v>3000.0</v>
      </c>
      <c r="F411" s="1">
        <v>0.0</v>
      </c>
      <c r="G411" s="1">
        <v>392100.0</v>
      </c>
    </row>
    <row r="412">
      <c r="A412" s="2">
        <v>45936.0</v>
      </c>
      <c r="B412" s="1">
        <v>248400.0</v>
      </c>
      <c r="C412" s="1">
        <v>0.0</v>
      </c>
      <c r="D412" s="1">
        <v>0.0</v>
      </c>
      <c r="E412" s="1">
        <v>0.0</v>
      </c>
      <c r="F412" s="1">
        <v>0.0</v>
      </c>
      <c r="G412" s="1">
        <v>248400.0</v>
      </c>
    </row>
    <row r="413">
      <c r="A413" s="2">
        <v>45937.0</v>
      </c>
      <c r="B413" s="1">
        <v>274600.0</v>
      </c>
      <c r="C413" s="1">
        <v>12000.0</v>
      </c>
      <c r="D413" s="1">
        <v>0.0</v>
      </c>
      <c r="E413" s="1">
        <v>0.0</v>
      </c>
      <c r="F413" s="1">
        <v>0.0</v>
      </c>
      <c r="G413" s="1">
        <v>286600.0</v>
      </c>
    </row>
    <row r="414">
      <c r="A414" s="2">
        <v>45938.0</v>
      </c>
      <c r="B414" s="1">
        <v>425100.0</v>
      </c>
      <c r="C414" s="1">
        <v>12000.0</v>
      </c>
      <c r="D414" s="1">
        <v>0.0</v>
      </c>
      <c r="E414" s="1">
        <v>0.0</v>
      </c>
      <c r="F414" s="1">
        <v>0.0</v>
      </c>
      <c r="G414" s="1">
        <v>437100.0</v>
      </c>
    </row>
    <row r="415">
      <c r="A415" s="2">
        <v>45939.0</v>
      </c>
      <c r="B415" s="1">
        <v>307600.0</v>
      </c>
      <c r="C415" s="1">
        <v>18000.0</v>
      </c>
      <c r="D415" s="1">
        <v>0.0</v>
      </c>
      <c r="E415" s="1">
        <v>0.0</v>
      </c>
      <c r="F415" s="1">
        <v>0.0</v>
      </c>
      <c r="G415" s="1">
        <v>325600.0</v>
      </c>
    </row>
    <row r="416">
      <c r="A416" s="2">
        <v>45940.0</v>
      </c>
      <c r="B416" s="1">
        <v>358600.0</v>
      </c>
      <c r="C416" s="1">
        <v>0.0</v>
      </c>
      <c r="D416" s="1">
        <v>0.0</v>
      </c>
      <c r="E416" s="1">
        <v>0.0</v>
      </c>
      <c r="F416" s="1">
        <v>7800.0</v>
      </c>
      <c r="G416" s="1">
        <v>366400.0</v>
      </c>
    </row>
    <row r="417">
      <c r="A417" s="2">
        <v>45941.0</v>
      </c>
      <c r="B417" s="1">
        <v>321100.0</v>
      </c>
      <c r="C417" s="1">
        <v>60000.0</v>
      </c>
      <c r="D417" s="1">
        <v>0.0</v>
      </c>
      <c r="E417" s="1">
        <v>0.0</v>
      </c>
      <c r="F417" s="1">
        <v>0.0</v>
      </c>
      <c r="G417" s="1">
        <v>381100.0</v>
      </c>
    </row>
    <row r="418">
      <c r="A418" s="2">
        <v>45942.0</v>
      </c>
      <c r="B418" s="1">
        <v>222200.0</v>
      </c>
      <c r="C418" s="1">
        <v>12000.0</v>
      </c>
      <c r="D418" s="1">
        <v>0.0</v>
      </c>
      <c r="E418" s="1">
        <v>0.0</v>
      </c>
      <c r="F418" s="1">
        <v>7150.0</v>
      </c>
      <c r="G418" s="1">
        <v>241350.0</v>
      </c>
    </row>
    <row r="419">
      <c r="A419" s="2">
        <v>45943.0</v>
      </c>
      <c r="B419" s="1">
        <v>284200.0</v>
      </c>
      <c r="C419" s="1">
        <v>12000.0</v>
      </c>
      <c r="D419" s="1">
        <v>0.0</v>
      </c>
      <c r="E419" s="1">
        <v>0.0</v>
      </c>
      <c r="F419" s="1">
        <v>-1300.0</v>
      </c>
      <c r="G419" s="1">
        <v>294900.0</v>
      </c>
    </row>
    <row r="420">
      <c r="A420" s="2">
        <v>45944.0</v>
      </c>
      <c r="B420" s="1">
        <v>134600.0</v>
      </c>
      <c r="C420" s="1">
        <v>12000.0</v>
      </c>
      <c r="D420" s="1">
        <v>0.0</v>
      </c>
      <c r="E420" s="1">
        <v>0.0</v>
      </c>
      <c r="F420" s="1">
        <v>77500.0</v>
      </c>
      <c r="G420" s="1">
        <v>224100.0</v>
      </c>
    </row>
    <row r="421">
      <c r="A421" s="2">
        <v>45945.0</v>
      </c>
      <c r="B421" s="1">
        <v>366550.0</v>
      </c>
      <c r="C421" s="1">
        <v>18000.0</v>
      </c>
      <c r="D421" s="1">
        <v>0.0</v>
      </c>
      <c r="E421" s="1">
        <v>0.0</v>
      </c>
      <c r="F421" s="1">
        <v>0.0</v>
      </c>
      <c r="G421" s="1">
        <v>384550.0</v>
      </c>
    </row>
    <row r="422">
      <c r="A422" s="2">
        <v>45946.0</v>
      </c>
      <c r="B422" s="1">
        <v>340500.0</v>
      </c>
      <c r="C422" s="1">
        <v>0.0</v>
      </c>
      <c r="D422" s="1">
        <v>0.0</v>
      </c>
      <c r="E422" s="1">
        <v>0.0</v>
      </c>
      <c r="F422" s="1">
        <v>0.0</v>
      </c>
      <c r="G422" s="1">
        <v>340500.0</v>
      </c>
    </row>
    <row r="423">
      <c r="A423" s="2">
        <v>45947.0</v>
      </c>
      <c r="B423" s="1">
        <v>393100.0</v>
      </c>
      <c r="C423" s="1">
        <v>12000.0</v>
      </c>
      <c r="D423" s="1">
        <v>0.0</v>
      </c>
      <c r="E423" s="1">
        <v>0.0</v>
      </c>
      <c r="F423" s="1">
        <v>0.0</v>
      </c>
      <c r="G423" s="1">
        <v>405100.0</v>
      </c>
    </row>
    <row r="424">
      <c r="A424" s="2">
        <v>45948.0</v>
      </c>
      <c r="B424" s="1">
        <v>311300.0</v>
      </c>
      <c r="C424" s="1">
        <v>54000.0</v>
      </c>
      <c r="D424" s="1">
        <v>0.0</v>
      </c>
      <c r="E424" s="1">
        <v>0.0</v>
      </c>
      <c r="F424" s="1">
        <v>0.0</v>
      </c>
      <c r="G424" s="1">
        <v>365300.0</v>
      </c>
    </row>
    <row r="425">
      <c r="A425" s="2">
        <v>45949.0</v>
      </c>
      <c r="B425" s="1">
        <v>273700.0</v>
      </c>
      <c r="C425" s="1">
        <v>18000.0</v>
      </c>
      <c r="D425" s="1">
        <v>0.0</v>
      </c>
      <c r="E425" s="1">
        <v>0.0</v>
      </c>
      <c r="F425" s="1">
        <v>0.0</v>
      </c>
      <c r="G425" s="1">
        <v>291700.0</v>
      </c>
    </row>
    <row r="426">
      <c r="A426" s="2">
        <v>45950.0</v>
      </c>
      <c r="B426" s="1">
        <v>360100.0</v>
      </c>
      <c r="C426" s="1">
        <v>16000.0</v>
      </c>
      <c r="D426" s="1">
        <v>0.0</v>
      </c>
      <c r="E426" s="1">
        <v>0.0</v>
      </c>
      <c r="F426" s="1">
        <v>0.0</v>
      </c>
      <c r="G426" s="1">
        <v>376100.0</v>
      </c>
    </row>
    <row r="427">
      <c r="A427" s="2">
        <v>45951.0</v>
      </c>
      <c r="B427" s="1">
        <v>297800.0</v>
      </c>
      <c r="C427" s="1">
        <v>12000.0</v>
      </c>
      <c r="D427" s="1">
        <v>0.0</v>
      </c>
      <c r="E427" s="1">
        <v>0.0</v>
      </c>
      <c r="F427" s="1">
        <v>0.0</v>
      </c>
      <c r="G427" s="1">
        <v>309800.0</v>
      </c>
    </row>
    <row r="428">
      <c r="A428" s="2">
        <v>45952.0</v>
      </c>
      <c r="B428" s="1">
        <v>628100.0</v>
      </c>
      <c r="C428" s="1">
        <v>18000.0</v>
      </c>
      <c r="D428" s="1">
        <v>0.0</v>
      </c>
      <c r="E428" s="1">
        <v>0.0</v>
      </c>
      <c r="F428" s="1">
        <v>0.0</v>
      </c>
      <c r="G428" s="1">
        <v>646100.0</v>
      </c>
    </row>
    <row r="429">
      <c r="A429" s="2">
        <v>45953.0</v>
      </c>
      <c r="B429" s="1">
        <v>569100.0</v>
      </c>
      <c r="C429" s="1">
        <v>30000.0</v>
      </c>
      <c r="D429" s="1">
        <v>0.0</v>
      </c>
      <c r="E429" s="1">
        <v>0.0</v>
      </c>
      <c r="F429" s="1">
        <v>0.0</v>
      </c>
      <c r="G429" s="1">
        <v>599100.0</v>
      </c>
    </row>
    <row r="430">
      <c r="A430" s="2">
        <v>45954.0</v>
      </c>
      <c r="B430" s="1">
        <v>764800.0</v>
      </c>
      <c r="C430" s="1">
        <v>78000.0</v>
      </c>
      <c r="D430" s="1">
        <v>0.0</v>
      </c>
      <c r="E430" s="1">
        <v>0.0</v>
      </c>
      <c r="F430" s="1">
        <v>0.0</v>
      </c>
      <c r="G430" s="1">
        <v>842800.0</v>
      </c>
    </row>
    <row r="431">
      <c r="A431" s="2">
        <v>45955.0</v>
      </c>
      <c r="B431" s="1">
        <v>591100.0</v>
      </c>
      <c r="C431" s="1">
        <v>12000.0</v>
      </c>
      <c r="D431" s="1">
        <v>0.0</v>
      </c>
      <c r="E431" s="1">
        <v>0.0</v>
      </c>
      <c r="F431" s="1">
        <v>-900.0</v>
      </c>
      <c r="G431" s="1">
        <v>602200.0</v>
      </c>
    </row>
    <row r="432">
      <c r="A432" s="2">
        <v>45956.0</v>
      </c>
      <c r="B432" s="1">
        <v>326000.0</v>
      </c>
      <c r="C432" s="1">
        <v>24000.0</v>
      </c>
      <c r="D432" s="1">
        <v>0.0</v>
      </c>
      <c r="E432" s="1">
        <v>0.0</v>
      </c>
      <c r="F432" s="1">
        <v>0.0</v>
      </c>
      <c r="G432" s="1">
        <v>350000.0</v>
      </c>
    </row>
    <row r="433">
      <c r="A433" s="2">
        <v>45957.0</v>
      </c>
      <c r="B433" s="1">
        <v>211100.0</v>
      </c>
      <c r="C433" s="1">
        <v>0.0</v>
      </c>
      <c r="D433" s="1">
        <v>10000.0</v>
      </c>
      <c r="E433" s="1">
        <v>0.0</v>
      </c>
      <c r="F433" s="1">
        <v>0.0</v>
      </c>
      <c r="G433" s="1">
        <v>221100.0</v>
      </c>
    </row>
    <row r="434">
      <c r="A434" s="2">
        <v>45958.0</v>
      </c>
      <c r="B434" s="1">
        <v>160800.0</v>
      </c>
      <c r="C434" s="1">
        <v>6000.0</v>
      </c>
      <c r="D434" s="1">
        <v>0.0</v>
      </c>
      <c r="E434" s="1">
        <v>0.0</v>
      </c>
      <c r="F434" s="1">
        <v>0.0</v>
      </c>
      <c r="G434" s="1">
        <v>166800.0</v>
      </c>
    </row>
    <row r="435">
      <c r="A435" s="2">
        <v>45959.0</v>
      </c>
      <c r="B435" s="1">
        <v>342500.0</v>
      </c>
      <c r="C435" s="1">
        <v>6000.0</v>
      </c>
      <c r="D435" s="1">
        <v>0.0</v>
      </c>
      <c r="E435" s="1">
        <v>0.0</v>
      </c>
      <c r="F435" s="1">
        <v>-9000.0</v>
      </c>
      <c r="G435" s="1">
        <v>339500.0</v>
      </c>
    </row>
    <row r="436">
      <c r="A436" s="2">
        <v>45960.0</v>
      </c>
      <c r="B436" s="1">
        <v>214500.0</v>
      </c>
      <c r="C436" s="1">
        <v>0.0</v>
      </c>
      <c r="D436" s="1">
        <v>16000.0</v>
      </c>
      <c r="E436" s="1">
        <v>0.0</v>
      </c>
      <c r="F436" s="1">
        <v>0.0</v>
      </c>
      <c r="G436" s="1">
        <v>230500.0</v>
      </c>
    </row>
    <row r="437">
      <c r="A437" s="2">
        <v>45961.0</v>
      </c>
      <c r="B437" s="1">
        <v>303900.0</v>
      </c>
      <c r="C437" s="1">
        <v>29000.0</v>
      </c>
      <c r="D437" s="1">
        <v>0.0</v>
      </c>
      <c r="E437" s="1">
        <v>0.0</v>
      </c>
      <c r="F437" s="1">
        <v>0.0</v>
      </c>
      <c r="G437" s="1">
        <v>332900.0</v>
      </c>
    </row>
    <row r="438">
      <c r="A438" s="2">
        <v>45962.0</v>
      </c>
      <c r="B438" s="1">
        <v>330300.0</v>
      </c>
      <c r="C438" s="1">
        <v>6000.0</v>
      </c>
      <c r="D438" s="1">
        <v>10000.0</v>
      </c>
      <c r="E438" s="1">
        <v>0.0</v>
      </c>
      <c r="F438" s="1">
        <v>-9000.0</v>
      </c>
      <c r="G438" s="1">
        <v>337300.0</v>
      </c>
    </row>
    <row r="439">
      <c r="A439" s="2">
        <v>45963.0</v>
      </c>
      <c r="B439" s="1">
        <v>119200.0</v>
      </c>
      <c r="C439" s="1">
        <v>4000.0</v>
      </c>
      <c r="D439" s="1">
        <v>0.0</v>
      </c>
      <c r="E439" s="1">
        <v>0.0</v>
      </c>
      <c r="F439" s="1">
        <v>0.0</v>
      </c>
      <c r="G439" s="1">
        <v>123200.0</v>
      </c>
    </row>
    <row r="440">
      <c r="A440" s="2">
        <v>45964.0</v>
      </c>
      <c r="B440" s="1">
        <v>198400.0</v>
      </c>
      <c r="C440" s="1">
        <v>24000.0</v>
      </c>
      <c r="D440" s="1">
        <v>0.0</v>
      </c>
      <c r="E440" s="1">
        <v>0.0</v>
      </c>
      <c r="F440" s="1">
        <v>0.0</v>
      </c>
      <c r="G440" s="1">
        <v>222400.0</v>
      </c>
    </row>
    <row r="441">
      <c r="A441" s="2">
        <v>45965.0</v>
      </c>
      <c r="B441" s="1">
        <v>114300.0</v>
      </c>
      <c r="C441" s="1">
        <v>0.0</v>
      </c>
      <c r="D441" s="1">
        <v>0.0</v>
      </c>
      <c r="E441" s="1">
        <v>0.0</v>
      </c>
      <c r="F441" s="1">
        <v>0.0</v>
      </c>
      <c r="G441" s="1">
        <v>114300.0</v>
      </c>
    </row>
    <row r="442">
      <c r="A442" s="2">
        <v>45966.0</v>
      </c>
      <c r="B442" s="1">
        <v>190100.0</v>
      </c>
      <c r="C442" s="1">
        <v>24000.0</v>
      </c>
      <c r="D442" s="1">
        <v>0.0</v>
      </c>
      <c r="E442" s="1">
        <v>0.0</v>
      </c>
      <c r="F442" s="1">
        <v>0.0</v>
      </c>
      <c r="G442" s="1">
        <v>214100.0</v>
      </c>
    </row>
    <row r="443">
      <c r="A443" s="2">
        <v>45967.0</v>
      </c>
      <c r="B443" s="1">
        <v>366100.0</v>
      </c>
      <c r="C443" s="1">
        <v>42000.0</v>
      </c>
      <c r="D443" s="1">
        <v>0.0</v>
      </c>
      <c r="E443" s="1">
        <v>0.0</v>
      </c>
      <c r="F443" s="1">
        <v>-6400.0</v>
      </c>
      <c r="G443" s="1">
        <v>401700.0</v>
      </c>
    </row>
    <row r="444">
      <c r="A444" s="2">
        <v>45968.0</v>
      </c>
      <c r="B444" s="1">
        <v>314100.0</v>
      </c>
      <c r="C444" s="1">
        <v>0.0</v>
      </c>
      <c r="D444" s="1">
        <v>0.0</v>
      </c>
      <c r="E444" s="1">
        <v>0.0</v>
      </c>
      <c r="F444" s="1">
        <v>0.0</v>
      </c>
      <c r="G444" s="1">
        <v>314100.0</v>
      </c>
    </row>
    <row r="445">
      <c r="A445" s="2">
        <v>45969.0</v>
      </c>
      <c r="B445" s="1">
        <v>155000.0</v>
      </c>
      <c r="C445" s="1">
        <v>18000.0</v>
      </c>
      <c r="D445" s="1">
        <v>0.0</v>
      </c>
      <c r="E445" s="1">
        <v>0.0</v>
      </c>
      <c r="F445" s="1">
        <v>0.0</v>
      </c>
      <c r="G445" s="1">
        <v>173000.0</v>
      </c>
    </row>
    <row r="446">
      <c r="A446" s="2">
        <v>45970.0</v>
      </c>
      <c r="B446" s="1">
        <v>179600.0</v>
      </c>
      <c r="C446" s="1">
        <v>6000.0</v>
      </c>
      <c r="D446" s="1">
        <v>0.0</v>
      </c>
      <c r="E446" s="1">
        <v>0.0</v>
      </c>
      <c r="F446" s="1">
        <v>0.0</v>
      </c>
      <c r="G446" s="1">
        <v>185600.0</v>
      </c>
    </row>
    <row r="447">
      <c r="A447" s="2">
        <v>45971.0</v>
      </c>
      <c r="B447" s="1">
        <v>205900.0</v>
      </c>
      <c r="C447" s="1">
        <v>0.0</v>
      </c>
      <c r="D447" s="1">
        <v>0.0</v>
      </c>
      <c r="E447" s="1">
        <v>0.0</v>
      </c>
      <c r="F447" s="1">
        <v>0.0</v>
      </c>
      <c r="G447" s="1">
        <v>205900.0</v>
      </c>
    </row>
    <row r="448">
      <c r="A448" s="2">
        <v>45972.0</v>
      </c>
      <c r="B448" s="1">
        <v>106100.0</v>
      </c>
      <c r="C448" s="1">
        <v>12000.0</v>
      </c>
      <c r="D448" s="1">
        <v>0.0</v>
      </c>
      <c r="E448" s="1">
        <v>0.0</v>
      </c>
      <c r="F448" s="1">
        <v>0.0</v>
      </c>
      <c r="G448" s="1">
        <v>118100.0</v>
      </c>
    </row>
    <row r="449">
      <c r="A449" s="2">
        <v>45973.0</v>
      </c>
      <c r="B449" s="1">
        <v>249900.0</v>
      </c>
      <c r="C449" s="1">
        <v>6000.0</v>
      </c>
      <c r="D449" s="1">
        <v>0.0</v>
      </c>
      <c r="E449" s="1">
        <v>0.0</v>
      </c>
      <c r="F449" s="1">
        <v>0.0</v>
      </c>
      <c r="G449" s="1">
        <v>255900.0</v>
      </c>
    </row>
    <row r="450">
      <c r="A450" s="2">
        <v>45974.0</v>
      </c>
      <c r="B450" s="1">
        <v>175800.0</v>
      </c>
      <c r="C450" s="1">
        <v>12000.0</v>
      </c>
      <c r="D450" s="1">
        <v>0.0</v>
      </c>
      <c r="E450" s="1">
        <v>0.0</v>
      </c>
      <c r="F450" s="1">
        <v>0.0</v>
      </c>
      <c r="G450" s="1">
        <v>187800.0</v>
      </c>
    </row>
    <row r="451">
      <c r="A451" s="2">
        <v>45975.0</v>
      </c>
      <c r="B451" s="1">
        <v>257300.0</v>
      </c>
      <c r="C451" s="1">
        <v>18000.0</v>
      </c>
      <c r="D451" s="1">
        <v>9000.0</v>
      </c>
      <c r="E451" s="1">
        <v>0.0</v>
      </c>
      <c r="F451" s="1">
        <v>7800.0</v>
      </c>
      <c r="G451" s="1">
        <v>292100.0</v>
      </c>
    </row>
    <row r="452">
      <c r="A452" s="2">
        <v>45976.0</v>
      </c>
      <c r="B452" s="1">
        <v>260100.0</v>
      </c>
      <c r="C452" s="1">
        <v>6000.0</v>
      </c>
      <c r="D452" s="1">
        <v>0.0</v>
      </c>
      <c r="E452" s="1">
        <v>0.0</v>
      </c>
      <c r="F452" s="1">
        <v>0.0</v>
      </c>
      <c r="G452" s="1">
        <v>266100.0</v>
      </c>
    </row>
    <row r="453">
      <c r="A453" s="2">
        <v>45977.0</v>
      </c>
      <c r="B453" s="1">
        <v>64200.0</v>
      </c>
      <c r="C453" s="1">
        <v>0.0</v>
      </c>
      <c r="D453" s="1">
        <v>0.0</v>
      </c>
      <c r="E453" s="1">
        <v>0.0</v>
      </c>
      <c r="F453" s="1">
        <v>0.0</v>
      </c>
      <c r="G453" s="1">
        <v>64200.0</v>
      </c>
    </row>
    <row r="454">
      <c r="A454" s="2">
        <v>45978.0</v>
      </c>
      <c r="B454" s="1">
        <v>80300.0</v>
      </c>
      <c r="C454" s="1">
        <v>12000.0</v>
      </c>
      <c r="D454" s="1">
        <v>0.0</v>
      </c>
      <c r="E454" s="1">
        <v>0.0</v>
      </c>
      <c r="F454" s="1">
        <v>0.0</v>
      </c>
      <c r="G454" s="1">
        <v>92300.0</v>
      </c>
    </row>
    <row r="455">
      <c r="A455" s="2">
        <v>45979.0</v>
      </c>
      <c r="B455" s="1">
        <v>122400.0</v>
      </c>
      <c r="C455" s="1">
        <v>12000.0</v>
      </c>
      <c r="D455" s="1">
        <v>0.0</v>
      </c>
      <c r="E455" s="1">
        <v>0.0</v>
      </c>
      <c r="F455" s="1">
        <v>0.0</v>
      </c>
      <c r="G455" s="1">
        <v>134400.0</v>
      </c>
    </row>
    <row r="456">
      <c r="A456" s="2">
        <v>45980.0</v>
      </c>
      <c r="B456" s="1">
        <v>181500.0</v>
      </c>
      <c r="C456" s="1">
        <v>0.0</v>
      </c>
      <c r="D456" s="1">
        <v>0.0</v>
      </c>
      <c r="E456" s="1">
        <v>0.0</v>
      </c>
      <c r="F456" s="1">
        <v>0.0</v>
      </c>
      <c r="G456" s="1">
        <v>181500.0</v>
      </c>
    </row>
    <row r="457">
      <c r="A457" s="2">
        <v>45981.0</v>
      </c>
      <c r="B457" s="1">
        <v>177100.0</v>
      </c>
      <c r="C457" s="1">
        <v>42000.0</v>
      </c>
      <c r="D457" s="1">
        <v>0.0</v>
      </c>
      <c r="E457" s="1">
        <v>0.0</v>
      </c>
      <c r="F457" s="1">
        <v>0.0</v>
      </c>
      <c r="G457" s="1">
        <v>219100.0</v>
      </c>
    </row>
    <row r="458">
      <c r="A458" s="2">
        <v>45982.0</v>
      </c>
      <c r="B458" s="1">
        <v>322200.0</v>
      </c>
      <c r="C458" s="1">
        <v>6000.0</v>
      </c>
      <c r="D458" s="1">
        <v>0.0</v>
      </c>
      <c r="E458" s="1">
        <v>0.0</v>
      </c>
      <c r="F458" s="1">
        <v>0.0</v>
      </c>
      <c r="G458" s="1">
        <v>328200.0</v>
      </c>
    </row>
    <row r="459">
      <c r="A459" s="2">
        <v>45983.0</v>
      </c>
      <c r="B459" s="1">
        <v>225400.0</v>
      </c>
      <c r="C459" s="1">
        <v>24000.0</v>
      </c>
      <c r="D459" s="1">
        <v>0.0</v>
      </c>
      <c r="E459" s="1">
        <v>0.0</v>
      </c>
      <c r="F459" s="1">
        <v>0.0</v>
      </c>
      <c r="G459" s="1">
        <v>249400.0</v>
      </c>
    </row>
    <row r="460">
      <c r="A460" s="2">
        <v>45984.0</v>
      </c>
      <c r="B460" s="1">
        <v>82700.0</v>
      </c>
      <c r="C460" s="1">
        <v>0.0</v>
      </c>
      <c r="D460" s="1">
        <v>0.0</v>
      </c>
      <c r="E460" s="1">
        <v>0.0</v>
      </c>
      <c r="F460" s="1">
        <v>8400.0</v>
      </c>
      <c r="G460" s="1">
        <v>91100.0</v>
      </c>
    </row>
    <row r="461">
      <c r="A461" s="2">
        <v>45985.0</v>
      </c>
      <c r="B461" s="1">
        <v>161000.0</v>
      </c>
      <c r="C461" s="1">
        <v>3000.0</v>
      </c>
      <c r="D461" s="1">
        <v>0.0</v>
      </c>
      <c r="E461" s="1">
        <v>0.0</v>
      </c>
      <c r="F461" s="1">
        <v>0.0</v>
      </c>
      <c r="G461" s="1">
        <v>164000.0</v>
      </c>
    </row>
    <row r="462">
      <c r="A462" s="2">
        <v>45986.0</v>
      </c>
      <c r="B462" s="1">
        <v>129400.0</v>
      </c>
      <c r="C462" s="1">
        <v>0.0</v>
      </c>
      <c r="D462" s="1">
        <v>0.0</v>
      </c>
      <c r="E462" s="1">
        <v>0.0</v>
      </c>
      <c r="F462" s="1">
        <v>0.0</v>
      </c>
      <c r="G462" s="1">
        <v>129400.0</v>
      </c>
    </row>
    <row r="463">
      <c r="A463" s="2">
        <v>45987.0</v>
      </c>
      <c r="B463" s="1">
        <v>136700.0</v>
      </c>
      <c r="C463" s="1">
        <v>12000.0</v>
      </c>
      <c r="D463" s="1">
        <v>0.0</v>
      </c>
      <c r="E463" s="1">
        <v>0.0</v>
      </c>
      <c r="F463" s="1">
        <v>0.0</v>
      </c>
      <c r="G463" s="1">
        <v>148700.0</v>
      </c>
    </row>
    <row r="464">
      <c r="A464" s="2">
        <v>45988.0</v>
      </c>
      <c r="B464" s="1">
        <v>168500.0</v>
      </c>
      <c r="C464" s="1">
        <v>18000.0</v>
      </c>
      <c r="D464" s="1">
        <v>0.0</v>
      </c>
      <c r="E464" s="1">
        <v>0.0</v>
      </c>
      <c r="F464" s="1">
        <v>0.0</v>
      </c>
      <c r="G464" s="1">
        <v>186500.0</v>
      </c>
    </row>
    <row r="465">
      <c r="A465" s="2">
        <v>45989.0</v>
      </c>
      <c r="B465" s="1">
        <v>229600.0</v>
      </c>
      <c r="C465" s="1">
        <v>24000.0</v>
      </c>
      <c r="D465" s="1">
        <v>0.0</v>
      </c>
      <c r="E465" s="1">
        <v>0.0</v>
      </c>
      <c r="F465" s="1">
        <v>0.0</v>
      </c>
      <c r="G465" s="1">
        <v>253600.0</v>
      </c>
    </row>
    <row r="466">
      <c r="A466" s="2">
        <v>45990.0</v>
      </c>
      <c r="B466" s="1">
        <v>199600.0</v>
      </c>
      <c r="C466" s="1">
        <v>12000.0</v>
      </c>
      <c r="D466" s="1">
        <v>0.0</v>
      </c>
      <c r="E466" s="1">
        <v>0.0</v>
      </c>
      <c r="F466" s="1">
        <v>0.0</v>
      </c>
      <c r="G466" s="1">
        <v>211600.0</v>
      </c>
    </row>
    <row r="467">
      <c r="A467" s="2">
        <v>45991.0</v>
      </c>
      <c r="B467" s="1">
        <v>117400.0</v>
      </c>
      <c r="C467" s="1">
        <v>0.0</v>
      </c>
      <c r="D467" s="1">
        <v>0.0</v>
      </c>
      <c r="E467" s="1">
        <v>0.0</v>
      </c>
      <c r="F467" s="1">
        <v>0.0</v>
      </c>
      <c r="G467" s="1">
        <v>117400.0</v>
      </c>
    </row>
    <row r="468">
      <c r="A468" s="2">
        <v>45992.0</v>
      </c>
      <c r="B468" s="1">
        <v>82500.0</v>
      </c>
      <c r="C468" s="1">
        <v>6000.0</v>
      </c>
      <c r="D468" s="1">
        <v>0.0</v>
      </c>
      <c r="E468" s="1">
        <v>0.0</v>
      </c>
      <c r="F468" s="1">
        <v>0.0</v>
      </c>
      <c r="G468" s="1">
        <v>88500.0</v>
      </c>
    </row>
    <row r="469">
      <c r="A469" s="2">
        <v>45993.0</v>
      </c>
      <c r="B469" s="1">
        <v>221800.0</v>
      </c>
      <c r="C469" s="1">
        <v>30000.0</v>
      </c>
      <c r="D469" s="1">
        <v>0.0</v>
      </c>
      <c r="E469" s="1">
        <v>0.0</v>
      </c>
      <c r="F469" s="1">
        <v>0.0</v>
      </c>
      <c r="G469" s="1">
        <v>251800.0</v>
      </c>
    </row>
    <row r="470">
      <c r="A470" s="2">
        <v>45994.0</v>
      </c>
      <c r="B470" s="1">
        <v>190100.0</v>
      </c>
      <c r="C470" s="1">
        <v>24000.0</v>
      </c>
      <c r="D470" s="1">
        <v>0.0</v>
      </c>
      <c r="E470" s="1">
        <v>0.0</v>
      </c>
      <c r="F470" s="1">
        <v>0.0</v>
      </c>
      <c r="G470" s="1">
        <v>214100.0</v>
      </c>
    </row>
    <row r="471">
      <c r="A471" s="2">
        <v>45995.0</v>
      </c>
      <c r="B471" s="1">
        <v>241100.0</v>
      </c>
      <c r="C471" s="1">
        <v>0.0</v>
      </c>
      <c r="D471" s="1">
        <v>0.0</v>
      </c>
      <c r="E471" s="1">
        <v>0.0</v>
      </c>
      <c r="F471" s="1">
        <v>0.0</v>
      </c>
      <c r="G471" s="1">
        <v>241100.0</v>
      </c>
    </row>
    <row r="472">
      <c r="A472" s="2">
        <v>45996.0</v>
      </c>
      <c r="B472" s="1">
        <v>238400.0</v>
      </c>
      <c r="C472" s="1">
        <v>0.0</v>
      </c>
      <c r="D472" s="1">
        <v>0.0</v>
      </c>
      <c r="E472" s="1">
        <v>0.0</v>
      </c>
      <c r="F472" s="1">
        <v>0.0</v>
      </c>
      <c r="G472" s="1">
        <v>238400.0</v>
      </c>
    </row>
    <row r="473">
      <c r="A473" s="2">
        <v>45997.0</v>
      </c>
      <c r="B473" s="1">
        <v>136800.0</v>
      </c>
      <c r="C473" s="1">
        <v>12000.0</v>
      </c>
      <c r="D473" s="1">
        <v>0.0</v>
      </c>
      <c r="E473" s="1">
        <v>0.0</v>
      </c>
      <c r="F473" s="1">
        <v>0.0</v>
      </c>
      <c r="G473" s="1">
        <v>148800.0</v>
      </c>
    </row>
    <row r="474">
      <c r="A474" s="2">
        <v>45998.0</v>
      </c>
      <c r="B474" s="1">
        <v>105100.0</v>
      </c>
      <c r="C474" s="1">
        <v>0.0</v>
      </c>
      <c r="D474" s="1">
        <v>0.0</v>
      </c>
      <c r="E474" s="1">
        <v>0.0</v>
      </c>
      <c r="F474" s="1">
        <v>0.0</v>
      </c>
      <c r="G474" s="1">
        <v>105100.0</v>
      </c>
    </row>
    <row r="475">
      <c r="A475" s="2">
        <v>45999.0</v>
      </c>
      <c r="B475" s="1">
        <v>119200.0</v>
      </c>
      <c r="C475" s="1">
        <v>24000.0</v>
      </c>
      <c r="D475" s="1">
        <v>0.0</v>
      </c>
      <c r="E475" s="1">
        <v>0.0</v>
      </c>
      <c r="F475" s="1">
        <v>0.0</v>
      </c>
      <c r="G475" s="1">
        <v>143200.0</v>
      </c>
    </row>
    <row r="476">
      <c r="A476" s="2">
        <v>46000.0</v>
      </c>
      <c r="B476" s="1">
        <v>112600.0</v>
      </c>
      <c r="C476" s="1">
        <v>24000.0</v>
      </c>
      <c r="D476" s="1">
        <v>0.0</v>
      </c>
      <c r="E476" s="1">
        <v>0.0</v>
      </c>
      <c r="F476" s="1">
        <v>0.0</v>
      </c>
      <c r="G476" s="1">
        <v>136600.0</v>
      </c>
    </row>
    <row r="477">
      <c r="A477" s="2">
        <v>46001.0</v>
      </c>
      <c r="B477" s="1">
        <v>109400.0</v>
      </c>
      <c r="C477" s="1">
        <v>0.0</v>
      </c>
      <c r="D477" s="1">
        <v>0.0</v>
      </c>
      <c r="E477" s="1">
        <v>0.0</v>
      </c>
      <c r="F477" s="1">
        <v>0.0</v>
      </c>
      <c r="G477" s="1">
        <v>109400.0</v>
      </c>
    </row>
    <row r="478">
      <c r="A478" s="2">
        <v>46002.0</v>
      </c>
      <c r="B478" s="1">
        <v>150500.0</v>
      </c>
      <c r="C478" s="1">
        <v>8000.0</v>
      </c>
      <c r="D478" s="1">
        <v>0.0</v>
      </c>
      <c r="E478" s="1">
        <v>0.0</v>
      </c>
      <c r="F478" s="1">
        <v>0.0</v>
      </c>
      <c r="G478" s="1">
        <v>158500.0</v>
      </c>
    </row>
    <row r="479">
      <c r="A479" s="2">
        <v>46003.0</v>
      </c>
      <c r="B479" s="1">
        <v>169100.0</v>
      </c>
      <c r="C479" s="1">
        <v>24000.0</v>
      </c>
      <c r="D479" s="1">
        <v>0.0</v>
      </c>
      <c r="E479" s="1">
        <v>0.0</v>
      </c>
      <c r="F479" s="1">
        <v>0.0</v>
      </c>
      <c r="G479" s="1">
        <v>193100.0</v>
      </c>
    </row>
    <row r="480">
      <c r="A480" s="2">
        <v>46004.0</v>
      </c>
      <c r="B480" s="1">
        <v>151000.0</v>
      </c>
      <c r="C480" s="1">
        <v>16000.0</v>
      </c>
      <c r="D480" s="1">
        <v>0.0</v>
      </c>
      <c r="E480" s="1">
        <v>0.0</v>
      </c>
      <c r="F480" s="1">
        <v>0.0</v>
      </c>
      <c r="G480" s="1">
        <v>167000.0</v>
      </c>
    </row>
    <row r="481">
      <c r="A481" s="2">
        <v>46005.0</v>
      </c>
      <c r="B481" s="1">
        <v>77800.0</v>
      </c>
      <c r="C481" s="1">
        <v>0.0</v>
      </c>
      <c r="D481" s="1">
        <v>0.0</v>
      </c>
      <c r="E481" s="1">
        <v>0.0</v>
      </c>
      <c r="F481" s="1">
        <v>0.0</v>
      </c>
      <c r="G481" s="1">
        <v>77800.0</v>
      </c>
    </row>
    <row r="482">
      <c r="A482" s="2">
        <v>46006.0</v>
      </c>
      <c r="B482" s="1">
        <v>120100.0</v>
      </c>
      <c r="C482" s="1">
        <v>12000.0</v>
      </c>
      <c r="D482" s="1">
        <v>0.0</v>
      </c>
      <c r="E482" s="1">
        <v>0.0</v>
      </c>
      <c r="F482" s="1">
        <v>0.0</v>
      </c>
      <c r="G482" s="1">
        <v>132100.0</v>
      </c>
    </row>
    <row r="483">
      <c r="A483" s="2">
        <v>46007.0</v>
      </c>
      <c r="B483" s="1">
        <v>136000.0</v>
      </c>
      <c r="C483" s="1">
        <v>0.0</v>
      </c>
      <c r="D483" s="1">
        <v>0.0</v>
      </c>
      <c r="E483" s="1">
        <v>0.0</v>
      </c>
      <c r="F483" s="1">
        <v>0.0</v>
      </c>
      <c r="G483" s="1">
        <v>136000.0</v>
      </c>
    </row>
    <row r="484">
      <c r="A484" s="2">
        <v>46008.0</v>
      </c>
      <c r="B484" s="1">
        <v>96000.0</v>
      </c>
      <c r="C484" s="1">
        <v>0.0</v>
      </c>
      <c r="D484" s="1">
        <v>0.0</v>
      </c>
      <c r="E484" s="1">
        <v>0.0</v>
      </c>
      <c r="F484" s="1">
        <v>0.0</v>
      </c>
      <c r="G484" s="1">
        <v>96000.0</v>
      </c>
    </row>
    <row r="485">
      <c r="A485" s="2">
        <v>46009.0</v>
      </c>
      <c r="B485" s="1">
        <v>111900.0</v>
      </c>
      <c r="C485" s="1">
        <v>0.0</v>
      </c>
      <c r="D485" s="1">
        <v>0.0</v>
      </c>
      <c r="E485" s="1">
        <v>0.0</v>
      </c>
      <c r="F485" s="1">
        <v>0.0</v>
      </c>
      <c r="G485" s="1">
        <v>111900.0</v>
      </c>
    </row>
    <row r="486">
      <c r="A486" s="2">
        <v>46010.0</v>
      </c>
      <c r="B486" s="1">
        <v>284400.0</v>
      </c>
      <c r="C486" s="1">
        <v>12000.0</v>
      </c>
      <c r="D486" s="1">
        <v>0.0</v>
      </c>
      <c r="E486" s="1">
        <v>0.0</v>
      </c>
      <c r="F486" s="1">
        <v>0.0</v>
      </c>
      <c r="G486" s="1">
        <v>296400.0</v>
      </c>
    </row>
    <row r="487">
      <c r="A487" s="2">
        <v>46011.0</v>
      </c>
      <c r="B487" s="1">
        <v>259200.0</v>
      </c>
      <c r="C487" s="1">
        <v>12000.0</v>
      </c>
      <c r="D487" s="1">
        <v>0.0</v>
      </c>
      <c r="E487" s="1">
        <v>0.0</v>
      </c>
      <c r="F487" s="1">
        <v>0.0</v>
      </c>
      <c r="G487" s="1">
        <v>271200.0</v>
      </c>
    </row>
    <row r="488">
      <c r="A488" s="2">
        <v>46012.0</v>
      </c>
      <c r="B488" s="1">
        <v>124300.0</v>
      </c>
      <c r="C488" s="1">
        <v>0.0</v>
      </c>
      <c r="D488" s="1">
        <v>0.0</v>
      </c>
      <c r="E488" s="1">
        <v>0.0</v>
      </c>
      <c r="F488" s="1">
        <v>0.0</v>
      </c>
      <c r="G488" s="1">
        <v>124300.0</v>
      </c>
    </row>
    <row r="489">
      <c r="A489" s="2">
        <v>46013.0</v>
      </c>
      <c r="B489" s="1">
        <v>171400.0</v>
      </c>
      <c r="C489" s="1">
        <v>36000.0</v>
      </c>
      <c r="D489" s="1">
        <v>11000.0</v>
      </c>
      <c r="E489" s="1">
        <v>0.0</v>
      </c>
      <c r="F489" s="1">
        <v>0.0</v>
      </c>
      <c r="G489" s="1">
        <v>218400.0</v>
      </c>
    </row>
    <row r="490">
      <c r="A490" s="2">
        <v>46014.0</v>
      </c>
      <c r="B490" s="1">
        <v>186300.0</v>
      </c>
      <c r="C490" s="1">
        <v>0.0</v>
      </c>
      <c r="D490" s="1">
        <v>0.0</v>
      </c>
      <c r="E490" s="1">
        <v>0.0</v>
      </c>
      <c r="F490" s="1">
        <v>0.0</v>
      </c>
      <c r="G490" s="1">
        <v>186300.0</v>
      </c>
    </row>
    <row r="491">
      <c r="A491" s="2">
        <v>46015.0</v>
      </c>
      <c r="B491" s="1">
        <v>165100.0</v>
      </c>
      <c r="C491" s="1">
        <v>0.0</v>
      </c>
      <c r="D491" s="1">
        <v>0.0</v>
      </c>
      <c r="E491" s="1">
        <v>0.0</v>
      </c>
      <c r="F491" s="1">
        <v>0.0</v>
      </c>
      <c r="G491" s="1">
        <v>165100.0</v>
      </c>
    </row>
    <row r="492">
      <c r="A492" s="2">
        <v>46016.0</v>
      </c>
      <c r="B492" s="1">
        <v>215300.0</v>
      </c>
      <c r="C492" s="1">
        <v>12000.0</v>
      </c>
      <c r="D492" s="1">
        <v>0.0</v>
      </c>
      <c r="E492" s="1">
        <v>3000.0</v>
      </c>
      <c r="F492" s="1">
        <v>0.0</v>
      </c>
      <c r="G492" s="1">
        <v>230300.0</v>
      </c>
    </row>
    <row r="493">
      <c r="A493" s="2">
        <v>46017.0</v>
      </c>
      <c r="B493" s="1">
        <v>341700.0</v>
      </c>
      <c r="C493" s="1">
        <v>18000.0</v>
      </c>
      <c r="D493" s="1">
        <v>0.0</v>
      </c>
      <c r="E493" s="1">
        <v>0.0</v>
      </c>
      <c r="F493" s="1">
        <v>0.0</v>
      </c>
      <c r="G493" s="1">
        <v>359700.0</v>
      </c>
    </row>
    <row r="494">
      <c r="A494" s="2">
        <v>46018.0</v>
      </c>
      <c r="B494" s="1">
        <v>214800.0</v>
      </c>
      <c r="C494" s="1">
        <v>18000.0</v>
      </c>
      <c r="D494" s="1">
        <v>0.0</v>
      </c>
      <c r="E494" s="1">
        <v>0.0</v>
      </c>
      <c r="F494" s="1">
        <v>0.0</v>
      </c>
      <c r="G494" s="1">
        <v>232800.0</v>
      </c>
    </row>
    <row r="495">
      <c r="A495" s="2">
        <v>46019.0</v>
      </c>
      <c r="B495" s="1">
        <v>277300.0</v>
      </c>
      <c r="C495" s="1">
        <v>12000.0</v>
      </c>
      <c r="D495" s="1">
        <v>0.0</v>
      </c>
      <c r="E495" s="1">
        <v>0.0</v>
      </c>
      <c r="F495" s="1">
        <v>0.0</v>
      </c>
      <c r="G495" s="1">
        <v>289300.0</v>
      </c>
    </row>
    <row r="496">
      <c r="A496" s="2">
        <v>46020.0</v>
      </c>
      <c r="B496" s="1">
        <v>196100.0</v>
      </c>
      <c r="C496" s="1">
        <v>12000.0</v>
      </c>
      <c r="D496" s="1">
        <v>0.0</v>
      </c>
      <c r="E496" s="1">
        <v>0.0</v>
      </c>
      <c r="F496" s="1">
        <v>0.0</v>
      </c>
      <c r="G496" s="1">
        <v>208100.0</v>
      </c>
    </row>
    <row r="497">
      <c r="A497" s="2">
        <v>46021.0</v>
      </c>
      <c r="B497" s="1">
        <v>150200.0</v>
      </c>
      <c r="C497" s="1">
        <v>18000.0</v>
      </c>
      <c r="D497" s="1">
        <v>0.0</v>
      </c>
      <c r="E497" s="1">
        <v>0.0</v>
      </c>
      <c r="F497" s="1">
        <v>0.0</v>
      </c>
      <c r="G497" s="1">
        <v>168200.0</v>
      </c>
    </row>
    <row r="498">
      <c r="A498" s="2">
        <v>46022.0</v>
      </c>
      <c r="B498" s="1">
        <v>304600.0</v>
      </c>
      <c r="C498" s="1">
        <v>6000.0</v>
      </c>
      <c r="D498" s="1">
        <v>0.0</v>
      </c>
      <c r="E498" s="1">
        <v>0.0</v>
      </c>
      <c r="F498" s="1">
        <v>0.0</v>
      </c>
      <c r="G498" s="1">
        <v>310600.0</v>
      </c>
    </row>
    <row r="499">
      <c r="A499" s="2">
        <v>46023.0</v>
      </c>
      <c r="B499" s="1">
        <v>124200.0</v>
      </c>
      <c r="C499" s="1">
        <v>3000.0</v>
      </c>
      <c r="D499" s="1">
        <v>0.0</v>
      </c>
      <c r="E499" s="1">
        <v>0.0</v>
      </c>
      <c r="F499" s="1">
        <v>0.0</v>
      </c>
      <c r="G499" s="1">
        <v>127200.0</v>
      </c>
    </row>
    <row r="500">
      <c r="A500" s="2">
        <v>46024.0</v>
      </c>
      <c r="B500" s="1">
        <v>197300.0</v>
      </c>
      <c r="C500" s="1">
        <v>6000.0</v>
      </c>
      <c r="D500" s="1">
        <v>0.0</v>
      </c>
      <c r="E500" s="1">
        <v>0.0</v>
      </c>
      <c r="F500" s="1">
        <v>0.0</v>
      </c>
      <c r="G500" s="1">
        <v>203300.0</v>
      </c>
    </row>
    <row r="501">
      <c r="A501" s="2">
        <v>46025.0</v>
      </c>
      <c r="B501" s="1">
        <v>70400.0</v>
      </c>
      <c r="C501" s="1">
        <v>0.0</v>
      </c>
      <c r="D501" s="1">
        <v>0.0</v>
      </c>
      <c r="E501" s="1">
        <v>0.0</v>
      </c>
      <c r="F501" s="1">
        <v>0.0</v>
      </c>
      <c r="G501" s="1">
        <v>70400.0</v>
      </c>
    </row>
    <row r="502">
      <c r="A502" s="2">
        <v>46026.0</v>
      </c>
      <c r="B502" s="1">
        <v>132600.0</v>
      </c>
      <c r="C502" s="1">
        <v>36000.0</v>
      </c>
      <c r="D502" s="1">
        <v>0.0</v>
      </c>
      <c r="E502" s="1">
        <v>0.0</v>
      </c>
      <c r="F502" s="1">
        <v>0.0</v>
      </c>
      <c r="G502" s="1">
        <v>168600.0</v>
      </c>
    </row>
    <row r="503">
      <c r="A503" s="2">
        <v>46027.0</v>
      </c>
      <c r="B503" s="1">
        <v>180300.0</v>
      </c>
      <c r="C503" s="1">
        <v>0.0</v>
      </c>
      <c r="D503" s="1">
        <v>0.0</v>
      </c>
      <c r="E503" s="1">
        <v>0.0</v>
      </c>
      <c r="F503" s="1">
        <v>0.0</v>
      </c>
      <c r="G503" s="1">
        <v>180300.0</v>
      </c>
    </row>
    <row r="504">
      <c r="A504" s="2">
        <v>46028.0</v>
      </c>
      <c r="B504" s="1">
        <v>173800.0</v>
      </c>
      <c r="C504" s="1">
        <v>0.0</v>
      </c>
      <c r="D504" s="1">
        <v>0.0</v>
      </c>
      <c r="E504" s="1">
        <v>0.0</v>
      </c>
      <c r="F504" s="1">
        <v>0.0</v>
      </c>
      <c r="G504" s="1">
        <v>173800.0</v>
      </c>
    </row>
    <row r="505">
      <c r="A505" s="2">
        <v>46029.0</v>
      </c>
      <c r="B505" s="1">
        <v>113800.0</v>
      </c>
      <c r="C505" s="1">
        <v>30000.0</v>
      </c>
      <c r="D505" s="1">
        <v>0.0</v>
      </c>
      <c r="E505" s="1">
        <v>0.0</v>
      </c>
      <c r="F505" s="1">
        <v>0.0</v>
      </c>
      <c r="G505" s="1">
        <v>143800.0</v>
      </c>
    </row>
    <row r="506">
      <c r="A506" s="2">
        <v>46030.0</v>
      </c>
      <c r="B506" s="1">
        <v>126400.0</v>
      </c>
      <c r="C506" s="1">
        <v>0.0</v>
      </c>
      <c r="D506" s="1">
        <v>0.0</v>
      </c>
      <c r="E506" s="1">
        <v>0.0</v>
      </c>
      <c r="F506" s="1">
        <v>0.0</v>
      </c>
      <c r="G506" s="1">
        <v>126400.0</v>
      </c>
    </row>
    <row r="507">
      <c r="A507" s="2">
        <v>46031.0</v>
      </c>
      <c r="B507" s="1">
        <v>209600.0</v>
      </c>
      <c r="C507" s="1">
        <v>20000.0</v>
      </c>
      <c r="D507" s="1">
        <v>0.0</v>
      </c>
      <c r="E507" s="1">
        <v>0.0</v>
      </c>
      <c r="F507" s="1">
        <v>0.0</v>
      </c>
      <c r="G507" s="1">
        <v>229600.0</v>
      </c>
    </row>
    <row r="508">
      <c r="A508" s="2">
        <v>46032.0</v>
      </c>
      <c r="B508" s="1">
        <v>160600.0</v>
      </c>
      <c r="C508" s="1">
        <v>0.0</v>
      </c>
      <c r="D508" s="1">
        <v>0.0</v>
      </c>
      <c r="E508" s="1">
        <v>0.0</v>
      </c>
      <c r="F508" s="1">
        <v>0.0</v>
      </c>
      <c r="G508" s="1">
        <v>160600.0</v>
      </c>
    </row>
    <row r="509">
      <c r="A509" s="2">
        <v>46033.0</v>
      </c>
      <c r="B509" s="1">
        <v>98100.0</v>
      </c>
      <c r="C509" s="1">
        <v>12000.0</v>
      </c>
      <c r="D509" s="1">
        <v>0.0</v>
      </c>
      <c r="E509" s="1">
        <v>0.0</v>
      </c>
      <c r="F509" s="1">
        <v>0.0</v>
      </c>
      <c r="G509" s="1">
        <v>110100.0</v>
      </c>
    </row>
    <row r="510">
      <c r="A510" s="2">
        <v>46034.0</v>
      </c>
      <c r="B510" s="1">
        <v>249800.0</v>
      </c>
      <c r="C510" s="1">
        <v>24000.0</v>
      </c>
      <c r="D510" s="1">
        <v>9000.0</v>
      </c>
      <c r="E510" s="1">
        <v>0.0</v>
      </c>
      <c r="F510" s="1">
        <v>0.0</v>
      </c>
      <c r="G510" s="1">
        <v>282800.0</v>
      </c>
    </row>
    <row r="511">
      <c r="A511" s="2">
        <v>46035.0</v>
      </c>
      <c r="B511" s="1">
        <v>156500.0</v>
      </c>
      <c r="C511" s="1">
        <v>24000.0</v>
      </c>
      <c r="D511" s="1">
        <v>0.0</v>
      </c>
      <c r="E511" s="1">
        <v>0.0</v>
      </c>
      <c r="F511" s="1">
        <v>0.0</v>
      </c>
      <c r="G511" s="1">
        <v>180500.0</v>
      </c>
    </row>
    <row r="512">
      <c r="A512" s="2">
        <v>46036.0</v>
      </c>
      <c r="B512" s="1">
        <v>102800.0</v>
      </c>
      <c r="C512" s="1">
        <v>6000.0</v>
      </c>
      <c r="D512" s="1">
        <v>0.0</v>
      </c>
      <c r="E512" s="1">
        <v>0.0</v>
      </c>
      <c r="F512" s="1">
        <v>0.0</v>
      </c>
      <c r="G512" s="1">
        <v>108800.0</v>
      </c>
    </row>
    <row r="513">
      <c r="A513" s="2">
        <v>46037.0</v>
      </c>
      <c r="B513" s="1">
        <v>253900.0</v>
      </c>
      <c r="C513" s="1">
        <v>12000.0</v>
      </c>
      <c r="D513" s="1">
        <v>0.0</v>
      </c>
      <c r="E513" s="1">
        <v>0.0</v>
      </c>
      <c r="F513" s="1">
        <v>0.0</v>
      </c>
      <c r="G513" s="1">
        <v>265900.0</v>
      </c>
    </row>
    <row r="514">
      <c r="A514" s="2">
        <v>46038.0</v>
      </c>
      <c r="B514" s="1">
        <v>231800.0</v>
      </c>
      <c r="C514" s="1">
        <v>3000.0</v>
      </c>
      <c r="D514" s="1">
        <v>0.0</v>
      </c>
      <c r="E514" s="1">
        <v>0.0</v>
      </c>
      <c r="F514" s="1">
        <v>0.0</v>
      </c>
      <c r="G514" s="1">
        <v>234800.0</v>
      </c>
    </row>
    <row r="515">
      <c r="A515" s="2">
        <v>46039.0</v>
      </c>
      <c r="B515" s="1">
        <v>199900.0</v>
      </c>
      <c r="C515" s="1">
        <v>18000.0</v>
      </c>
      <c r="D515" s="1">
        <v>0.0</v>
      </c>
      <c r="E515" s="1">
        <v>0.0</v>
      </c>
      <c r="F515" s="1">
        <v>0.0</v>
      </c>
      <c r="G515" s="1">
        <v>217900.0</v>
      </c>
    </row>
    <row r="516">
      <c r="A516" s="2">
        <v>46040.0</v>
      </c>
      <c r="B516" s="1">
        <v>147000.0</v>
      </c>
      <c r="C516" s="1">
        <v>0.0</v>
      </c>
      <c r="D516" s="1">
        <v>0.0</v>
      </c>
      <c r="E516" s="1">
        <v>0.0</v>
      </c>
      <c r="F516" s="1">
        <v>0.0</v>
      </c>
      <c r="G516" s="1">
        <v>147000.0</v>
      </c>
    </row>
    <row r="517">
      <c r="A517" s="2">
        <v>46041.0</v>
      </c>
      <c r="B517" s="1">
        <v>178100.0</v>
      </c>
      <c r="C517" s="1">
        <v>6000.0</v>
      </c>
      <c r="D517" s="1">
        <v>0.0</v>
      </c>
      <c r="E517" s="1">
        <v>0.0</v>
      </c>
      <c r="F517" s="1">
        <v>0.0</v>
      </c>
      <c r="G517" s="1">
        <v>184100.0</v>
      </c>
    </row>
    <row r="518">
      <c r="A518" s="2">
        <v>46042.0</v>
      </c>
      <c r="B518" s="1">
        <v>164300.0</v>
      </c>
      <c r="C518" s="1">
        <v>0.0</v>
      </c>
      <c r="D518" s="1">
        <v>0.0</v>
      </c>
      <c r="E518" s="1">
        <v>0.0</v>
      </c>
      <c r="F518" s="1">
        <v>0.0</v>
      </c>
      <c r="G518" s="1">
        <v>164300.0</v>
      </c>
    </row>
    <row r="519">
      <c r="A519" s="2">
        <v>46043.0</v>
      </c>
      <c r="B519" s="1">
        <v>115200.0</v>
      </c>
      <c r="C519" s="1">
        <v>12000.0</v>
      </c>
      <c r="D519" s="1">
        <v>0.0</v>
      </c>
      <c r="E519" s="1">
        <v>0.0</v>
      </c>
      <c r="F519" s="1">
        <v>0.0</v>
      </c>
      <c r="G519" s="1">
        <v>127200.0</v>
      </c>
    </row>
    <row r="520">
      <c r="A520" s="2">
        <v>46044.0</v>
      </c>
      <c r="B520" s="1">
        <v>176100.0</v>
      </c>
      <c r="C520" s="1">
        <v>38000.0</v>
      </c>
      <c r="D520" s="1">
        <v>0.0</v>
      </c>
      <c r="E520" s="1">
        <v>0.0</v>
      </c>
      <c r="F520" s="1">
        <v>0.0</v>
      </c>
      <c r="G520" s="1">
        <v>214100.0</v>
      </c>
    </row>
    <row r="521">
      <c r="A521" s="2">
        <v>46045.0</v>
      </c>
      <c r="B521" s="1">
        <v>291300.0</v>
      </c>
      <c r="C521" s="1">
        <v>6000.0</v>
      </c>
      <c r="D521" s="1">
        <v>0.0</v>
      </c>
      <c r="E521" s="1">
        <v>0.0</v>
      </c>
      <c r="F521" s="1">
        <v>0.0</v>
      </c>
      <c r="G521" s="1">
        <v>297300.0</v>
      </c>
    </row>
    <row r="522">
      <c r="A522" s="2">
        <v>46046.0</v>
      </c>
      <c r="B522" s="1">
        <v>210800.0</v>
      </c>
      <c r="C522" s="1">
        <v>0.0</v>
      </c>
      <c r="D522" s="1">
        <v>0.0</v>
      </c>
      <c r="E522" s="1">
        <v>0.0</v>
      </c>
      <c r="F522" s="1">
        <v>0.0</v>
      </c>
      <c r="G522" s="1">
        <v>210800.0</v>
      </c>
    </row>
    <row r="523">
      <c r="A523" s="2">
        <v>46047.0</v>
      </c>
      <c r="B523" s="1">
        <v>131700.0</v>
      </c>
      <c r="C523" s="1">
        <v>12000.0</v>
      </c>
      <c r="D523" s="1">
        <v>0.0</v>
      </c>
      <c r="E523" s="1">
        <v>0.0</v>
      </c>
      <c r="F523" s="1">
        <v>0.0</v>
      </c>
      <c r="G523" s="1">
        <v>143700.0</v>
      </c>
    </row>
    <row r="524">
      <c r="A524" s="2">
        <v>46048.0</v>
      </c>
      <c r="B524" s="1">
        <v>132200.0</v>
      </c>
      <c r="C524" s="1">
        <v>0.0</v>
      </c>
      <c r="D524" s="1">
        <v>0.0</v>
      </c>
      <c r="E524" s="1">
        <v>0.0</v>
      </c>
      <c r="F524" s="1">
        <v>0.0</v>
      </c>
      <c r="G524" s="1">
        <v>132200.0</v>
      </c>
    </row>
    <row r="525">
      <c r="A525" s="2">
        <v>46049.0</v>
      </c>
      <c r="B525" s="1">
        <v>223800.0</v>
      </c>
      <c r="C525" s="1">
        <v>12000.0</v>
      </c>
      <c r="D525" s="1">
        <v>0.0</v>
      </c>
      <c r="E525" s="1">
        <v>0.0</v>
      </c>
      <c r="F525" s="1">
        <v>0.0</v>
      </c>
      <c r="G525" s="1">
        <v>235800.0</v>
      </c>
    </row>
    <row r="526">
      <c r="A526" s="2">
        <v>46050.0</v>
      </c>
      <c r="B526" s="1">
        <v>158700.0</v>
      </c>
      <c r="C526" s="1">
        <v>0.0</v>
      </c>
      <c r="D526" s="1">
        <v>0.0</v>
      </c>
      <c r="E526" s="1">
        <v>0.0</v>
      </c>
      <c r="F526" s="1">
        <v>0.0</v>
      </c>
      <c r="G526" s="1">
        <v>158700.0</v>
      </c>
    </row>
    <row r="527">
      <c r="A527" s="2">
        <v>46051.0</v>
      </c>
      <c r="B527" s="1">
        <v>150600.0</v>
      </c>
      <c r="C527" s="1">
        <v>6000.0</v>
      </c>
      <c r="D527" s="1">
        <v>0.0</v>
      </c>
      <c r="E527" s="1">
        <v>0.0</v>
      </c>
      <c r="F527" s="1">
        <v>0.0</v>
      </c>
      <c r="G527" s="1">
        <v>156600.0</v>
      </c>
    </row>
    <row r="528">
      <c r="A528" s="2">
        <v>46052.0</v>
      </c>
      <c r="B528" s="1">
        <v>307000.0</v>
      </c>
      <c r="C528" s="1">
        <v>0.0</v>
      </c>
      <c r="D528" s="1">
        <v>0.0</v>
      </c>
      <c r="E528" s="1">
        <v>0.0</v>
      </c>
      <c r="F528" s="1">
        <v>0.0</v>
      </c>
      <c r="G528" s="1">
        <v>307000.0</v>
      </c>
    </row>
    <row r="529">
      <c r="A529" s="2">
        <v>46053.0</v>
      </c>
      <c r="B529" s="1">
        <v>128900.0</v>
      </c>
      <c r="C529" s="1">
        <v>24000.0</v>
      </c>
      <c r="D529" s="1">
        <v>0.0</v>
      </c>
      <c r="E529" s="1">
        <v>0.0</v>
      </c>
      <c r="F529" s="1">
        <v>0.0</v>
      </c>
      <c r="G529" s="1">
        <v>152900.0</v>
      </c>
    </row>
    <row r="530">
      <c r="A530" s="2">
        <v>46054.0</v>
      </c>
      <c r="B530" s="1">
        <v>149100.0</v>
      </c>
      <c r="C530" s="1">
        <v>12000.0</v>
      </c>
      <c r="D530" s="1">
        <v>0.0</v>
      </c>
      <c r="E530" s="1">
        <v>0.0</v>
      </c>
      <c r="F530" s="1">
        <v>0.0</v>
      </c>
      <c r="G530" s="1">
        <v>161100.0</v>
      </c>
    </row>
    <row r="531">
      <c r="A531" s="2">
        <v>46055.0</v>
      </c>
      <c r="B531" s="1">
        <v>82800.0</v>
      </c>
      <c r="C531" s="1">
        <v>24000.0</v>
      </c>
      <c r="D531" s="1">
        <v>9000.0</v>
      </c>
      <c r="E531" s="1">
        <v>0.0</v>
      </c>
      <c r="F531" s="1">
        <v>0.0</v>
      </c>
      <c r="G531" s="1">
        <v>115800.0</v>
      </c>
    </row>
    <row r="532">
      <c r="A532" s="2">
        <v>46056.0</v>
      </c>
      <c r="B532" s="1">
        <v>170100.0</v>
      </c>
      <c r="C532" s="1">
        <v>12000.0</v>
      </c>
      <c r="D532" s="1">
        <v>0.0</v>
      </c>
      <c r="E532" s="1">
        <v>0.0</v>
      </c>
      <c r="F532" s="1">
        <v>-12500.0</v>
      </c>
      <c r="G532" s="1">
        <v>169600.0</v>
      </c>
    </row>
    <row r="533">
      <c r="A533" s="2">
        <v>46057.0</v>
      </c>
      <c r="B533" s="1">
        <v>243600.0</v>
      </c>
      <c r="C533" s="1">
        <v>0.0</v>
      </c>
      <c r="D533" s="1">
        <v>0.0</v>
      </c>
      <c r="E533" s="1">
        <v>0.0</v>
      </c>
      <c r="F533" s="1">
        <v>0.0</v>
      </c>
      <c r="G533" s="1">
        <v>243600.0</v>
      </c>
    </row>
    <row r="534">
      <c r="A534" s="2">
        <v>46058.0</v>
      </c>
      <c r="B534" s="1">
        <v>191600.0</v>
      </c>
      <c r="C534" s="1">
        <v>18000.0</v>
      </c>
      <c r="D534" s="1">
        <v>0.0</v>
      </c>
      <c r="E534" s="1">
        <v>0.0</v>
      </c>
      <c r="F534" s="1">
        <v>0.0</v>
      </c>
      <c r="G534" s="1">
        <v>209600.0</v>
      </c>
    </row>
    <row r="535">
      <c r="A535" s="2">
        <v>46059.0</v>
      </c>
      <c r="B535" s="1">
        <v>321600.0</v>
      </c>
      <c r="C535" s="1">
        <v>18000.0</v>
      </c>
      <c r="D535" s="1">
        <v>0.0</v>
      </c>
      <c r="E535" s="1">
        <v>0.0</v>
      </c>
      <c r="F535" s="1">
        <v>0.0</v>
      </c>
      <c r="G535" s="1">
        <v>339600.0</v>
      </c>
    </row>
    <row r="536">
      <c r="A536" s="2">
        <v>46060.0</v>
      </c>
      <c r="B536" s="1">
        <v>154800.0</v>
      </c>
      <c r="C536" s="1">
        <v>36000.0</v>
      </c>
      <c r="D536" s="1">
        <v>0.0</v>
      </c>
      <c r="E536" s="1">
        <v>0.0</v>
      </c>
      <c r="F536" s="1">
        <v>0.0</v>
      </c>
      <c r="G536" s="1">
        <v>190800.0</v>
      </c>
    </row>
    <row r="537">
      <c r="A537" s="2">
        <v>46061.0</v>
      </c>
      <c r="B537" s="1">
        <v>142700.0</v>
      </c>
      <c r="C537" s="1">
        <v>0.0</v>
      </c>
      <c r="D537" s="1">
        <v>0.0</v>
      </c>
      <c r="E537" s="1">
        <v>0.0</v>
      </c>
      <c r="F537" s="1">
        <v>0.0</v>
      </c>
      <c r="G537" s="1">
        <v>142700.0</v>
      </c>
    </row>
    <row r="538">
      <c r="A538" s="2">
        <v>46062.0</v>
      </c>
      <c r="B538" s="1">
        <v>132800.0</v>
      </c>
      <c r="C538" s="1">
        <v>8000.0</v>
      </c>
      <c r="D538" s="1">
        <v>0.0</v>
      </c>
      <c r="E538" s="1">
        <v>0.0</v>
      </c>
      <c r="F538" s="1">
        <v>0.0</v>
      </c>
      <c r="G538" s="1">
        <v>140800.0</v>
      </c>
    </row>
    <row r="539">
      <c r="A539" s="2">
        <v>46063.0</v>
      </c>
      <c r="B539" s="1">
        <v>56900.0</v>
      </c>
      <c r="C539" s="1">
        <v>6000.0</v>
      </c>
      <c r="D539" s="1">
        <v>0.0</v>
      </c>
      <c r="E539" s="1">
        <v>0.0</v>
      </c>
      <c r="F539" s="1">
        <v>0.0</v>
      </c>
      <c r="G539" s="1">
        <v>62900.0</v>
      </c>
    </row>
    <row r="540">
      <c r="A540" s="2">
        <v>46064.0</v>
      </c>
      <c r="B540" s="1">
        <v>126600.0</v>
      </c>
      <c r="C540" s="1">
        <v>20000.0</v>
      </c>
      <c r="D540" s="1">
        <v>0.0</v>
      </c>
      <c r="E540" s="1">
        <v>0.0</v>
      </c>
      <c r="F540" s="1">
        <v>0.0</v>
      </c>
      <c r="G540" s="1">
        <v>146600.0</v>
      </c>
    </row>
    <row r="541">
      <c r="A541" s="2">
        <v>46065.0</v>
      </c>
      <c r="B541" s="1">
        <v>247700.0</v>
      </c>
      <c r="C541" s="1">
        <v>64000.0</v>
      </c>
      <c r="D541" s="1">
        <v>0.0</v>
      </c>
      <c r="E541" s="1">
        <v>0.0</v>
      </c>
      <c r="F541" s="1">
        <v>0.0</v>
      </c>
      <c r="G541" s="1">
        <v>311700.0</v>
      </c>
    </row>
    <row r="542">
      <c r="A542" s="2">
        <v>46066.0</v>
      </c>
      <c r="B542" s="1">
        <v>319300.0</v>
      </c>
      <c r="C542" s="1">
        <v>12000.0</v>
      </c>
      <c r="D542" s="1">
        <v>0.0</v>
      </c>
      <c r="E542" s="1">
        <v>0.0</v>
      </c>
      <c r="F542" s="1">
        <v>0.0</v>
      </c>
      <c r="G542" s="1">
        <v>331300.0</v>
      </c>
    </row>
    <row r="543">
      <c r="A543" s="2">
        <v>46067.0</v>
      </c>
      <c r="B543" s="1">
        <v>156100.0</v>
      </c>
      <c r="C543" s="1">
        <v>0.0</v>
      </c>
      <c r="D543" s="1">
        <v>0.0</v>
      </c>
      <c r="E543" s="1">
        <v>0.0</v>
      </c>
      <c r="F543" s="1">
        <v>0.0</v>
      </c>
      <c r="G543" s="1">
        <v>156100.0</v>
      </c>
    </row>
    <row r="544">
      <c r="A544" s="2">
        <v>46068.0</v>
      </c>
      <c r="B544" s="1">
        <v>240300.0</v>
      </c>
      <c r="C544" s="1">
        <v>21000.0</v>
      </c>
      <c r="D544" s="1">
        <v>0.0</v>
      </c>
      <c r="E544" s="1">
        <v>0.0</v>
      </c>
      <c r="F544" s="1">
        <v>0.0</v>
      </c>
      <c r="G544" s="1">
        <v>261300.0</v>
      </c>
    </row>
    <row r="545">
      <c r="A545" s="2">
        <v>46069.0</v>
      </c>
      <c r="B545" s="1">
        <v>141600.0</v>
      </c>
      <c r="C545" s="1">
        <v>0.0</v>
      </c>
      <c r="D545" s="1">
        <v>12000.0</v>
      </c>
      <c r="E545" s="1">
        <v>0.0</v>
      </c>
      <c r="F545" s="1">
        <v>0.0</v>
      </c>
      <c r="G545" s="1">
        <v>153600.0</v>
      </c>
    </row>
    <row r="546">
      <c r="A546" s="2">
        <v>46070.0</v>
      </c>
      <c r="B546" s="1">
        <v>162700.0</v>
      </c>
      <c r="C546" s="1">
        <v>0.0</v>
      </c>
      <c r="D546" s="1">
        <v>0.0</v>
      </c>
      <c r="E546" s="1">
        <v>0.0</v>
      </c>
      <c r="F546" s="1">
        <v>0.0</v>
      </c>
      <c r="G546" s="1">
        <v>162700.0</v>
      </c>
    </row>
    <row r="547">
      <c r="A547" s="2">
        <v>46071.0</v>
      </c>
      <c r="B547" s="1">
        <v>175200.0</v>
      </c>
      <c r="C547" s="1">
        <v>0.0</v>
      </c>
      <c r="D547" s="1">
        <v>0.0</v>
      </c>
      <c r="E547" s="1">
        <v>0.0</v>
      </c>
      <c r="F547" s="1">
        <v>0.0</v>
      </c>
      <c r="G547" s="1">
        <v>175200.0</v>
      </c>
    </row>
    <row r="548">
      <c r="A548" s="2">
        <v>46072.0</v>
      </c>
      <c r="B548" s="1">
        <v>121700.0</v>
      </c>
      <c r="C548" s="1">
        <v>6000.0</v>
      </c>
      <c r="D548" s="1">
        <v>0.0</v>
      </c>
      <c r="E548" s="1">
        <v>0.0</v>
      </c>
      <c r="F548" s="1">
        <v>0.0</v>
      </c>
      <c r="G548" s="1">
        <v>127700.0</v>
      </c>
    </row>
    <row r="549">
      <c r="A549" s="2">
        <v>46073.0</v>
      </c>
      <c r="B549" s="1">
        <v>251400.0</v>
      </c>
      <c r="C549" s="1">
        <v>20000.0</v>
      </c>
      <c r="D549" s="1">
        <v>0.0</v>
      </c>
      <c r="E549" s="1">
        <v>0.0</v>
      </c>
      <c r="F549" s="1">
        <v>0.0</v>
      </c>
      <c r="G549" s="1">
        <v>271400.0</v>
      </c>
    </row>
    <row r="550">
      <c r="A550" s="2">
        <v>46074.0</v>
      </c>
      <c r="B550" s="1">
        <v>187500.0</v>
      </c>
      <c r="C550" s="1">
        <v>30000.0</v>
      </c>
      <c r="D550" s="1">
        <v>12000.0</v>
      </c>
      <c r="E550" s="1">
        <v>0.0</v>
      </c>
      <c r="F550" s="1">
        <v>0.0</v>
      </c>
      <c r="G550" s="1">
        <v>229500.0</v>
      </c>
    </row>
    <row r="551">
      <c r="A551" s="2">
        <v>46075.0</v>
      </c>
      <c r="B551" s="1">
        <v>56600.0</v>
      </c>
      <c r="C551" s="1">
        <v>12000.0</v>
      </c>
      <c r="D551" s="1">
        <v>0.0</v>
      </c>
      <c r="E551" s="1">
        <v>0.0</v>
      </c>
      <c r="F551" s="1">
        <v>0.0</v>
      </c>
      <c r="G551" s="1">
        <v>68600.0</v>
      </c>
    </row>
    <row r="552">
      <c r="A552" s="2">
        <v>46076.0</v>
      </c>
      <c r="B552" s="1">
        <v>117900.0</v>
      </c>
      <c r="C552" s="1">
        <v>0.0</v>
      </c>
      <c r="D552" s="1">
        <v>0.0</v>
      </c>
      <c r="E552" s="1">
        <v>0.0</v>
      </c>
      <c r="F552" s="1">
        <v>0.0</v>
      </c>
      <c r="G552" s="1">
        <v>117900.0</v>
      </c>
    </row>
    <row r="553">
      <c r="A553" s="2">
        <v>46077.0</v>
      </c>
      <c r="B553" s="1">
        <v>49900.0</v>
      </c>
      <c r="C553" s="1">
        <v>0.0</v>
      </c>
      <c r="D553" s="1">
        <v>0.0</v>
      </c>
      <c r="E553" s="1">
        <v>0.0</v>
      </c>
      <c r="F553" s="1">
        <v>0.0</v>
      </c>
      <c r="G553" s="1">
        <v>49900.0</v>
      </c>
    </row>
    <row r="554">
      <c r="A554" s="2">
        <v>46078.0</v>
      </c>
      <c r="B554" s="1">
        <v>171350.0</v>
      </c>
      <c r="C554" s="1">
        <v>30000.0</v>
      </c>
      <c r="D554" s="1">
        <v>0.0</v>
      </c>
      <c r="E554" s="1">
        <v>0.0</v>
      </c>
      <c r="F554" s="1">
        <v>0.0</v>
      </c>
      <c r="G554" s="1">
        <v>201350.0</v>
      </c>
    </row>
    <row r="555">
      <c r="A555" s="2">
        <v>46079.0</v>
      </c>
      <c r="B555" s="1">
        <v>226000.0</v>
      </c>
      <c r="C555" s="1">
        <v>0.0</v>
      </c>
      <c r="D555" s="1">
        <v>0.0</v>
      </c>
      <c r="E555" s="1">
        <v>0.0</v>
      </c>
      <c r="F555" s="1">
        <v>0.0</v>
      </c>
      <c r="G555" s="1">
        <v>226000.0</v>
      </c>
    </row>
    <row r="556">
      <c r="A556" s="2">
        <v>46080.0</v>
      </c>
      <c r="B556" s="1">
        <v>321800.0</v>
      </c>
      <c r="C556" s="1">
        <v>76000.0</v>
      </c>
      <c r="D556" s="1">
        <v>0.0</v>
      </c>
      <c r="E556" s="1">
        <v>0.0</v>
      </c>
      <c r="F556" s="1">
        <v>0.0</v>
      </c>
      <c r="G556" s="1">
        <v>397800.0</v>
      </c>
    </row>
    <row r="557">
      <c r="A557" s="2">
        <v>46081.0</v>
      </c>
      <c r="B557" s="1">
        <v>181100.0</v>
      </c>
      <c r="C557" s="1">
        <v>12000.0</v>
      </c>
      <c r="D557" s="1">
        <v>0.0</v>
      </c>
      <c r="E557" s="1">
        <v>0.0</v>
      </c>
      <c r="F557" s="1">
        <v>0.0</v>
      </c>
      <c r="G557" s="1">
        <v>193100.0</v>
      </c>
    </row>
    <row r="558">
      <c r="A558" s="2">
        <v>46082.0</v>
      </c>
      <c r="B558" s="1">
        <v>168100.0</v>
      </c>
      <c r="C558" s="1">
        <v>24000.0</v>
      </c>
      <c r="D558" s="1">
        <v>0.0</v>
      </c>
      <c r="E558" s="1">
        <v>0.0</v>
      </c>
      <c r="F558" s="1">
        <v>0.0</v>
      </c>
      <c r="G558" s="1">
        <v>192100.0</v>
      </c>
    </row>
    <row r="559">
      <c r="A559" s="2">
        <v>46083.0</v>
      </c>
      <c r="B559" s="1">
        <v>126100.0</v>
      </c>
      <c r="C559" s="1">
        <v>12000.0</v>
      </c>
      <c r="D559" s="1">
        <v>0.0</v>
      </c>
      <c r="E559" s="1">
        <v>0.0</v>
      </c>
      <c r="F559" s="1">
        <v>0.0</v>
      </c>
      <c r="G559" s="1">
        <v>138100.0</v>
      </c>
    </row>
    <row r="560">
      <c r="A560" s="2">
        <v>46084.0</v>
      </c>
      <c r="B560" s="1">
        <v>167500.0</v>
      </c>
      <c r="C560" s="1">
        <v>0.0</v>
      </c>
      <c r="D560" s="1">
        <v>0.0</v>
      </c>
      <c r="E560" s="1">
        <v>0.0</v>
      </c>
      <c r="F560" s="1">
        <v>-8100.0</v>
      </c>
      <c r="G560" s="1">
        <v>159400.0</v>
      </c>
    </row>
    <row r="561">
      <c r="A561" s="2">
        <v>46085.0</v>
      </c>
      <c r="B561" s="1">
        <v>235000.0</v>
      </c>
      <c r="C561" s="1">
        <v>54000.0</v>
      </c>
      <c r="D561" s="1">
        <v>0.0</v>
      </c>
      <c r="E561" s="1">
        <v>0.0</v>
      </c>
      <c r="F561" s="1">
        <v>0.0</v>
      </c>
      <c r="G561" s="1">
        <v>289000.0</v>
      </c>
    </row>
    <row r="562">
      <c r="A562" s="2">
        <v>46086.0</v>
      </c>
      <c r="B562" s="1">
        <v>167800.0</v>
      </c>
      <c r="C562" s="1">
        <v>12000.0</v>
      </c>
      <c r="D562" s="1">
        <v>0.0</v>
      </c>
      <c r="E562" s="1">
        <v>0.0</v>
      </c>
      <c r="F562" s="1">
        <v>0.0</v>
      </c>
      <c r="G562" s="1">
        <v>179800.0</v>
      </c>
    </row>
    <row r="563">
      <c r="A563" s="2">
        <v>46087.0</v>
      </c>
      <c r="B563" s="1">
        <v>376200.0</v>
      </c>
      <c r="C563" s="1">
        <v>24000.0</v>
      </c>
      <c r="D563" s="1">
        <v>0.0</v>
      </c>
      <c r="E563" s="1">
        <v>0.0</v>
      </c>
      <c r="F563" s="1">
        <v>0.0</v>
      </c>
      <c r="G563" s="1">
        <v>400200.0</v>
      </c>
    </row>
    <row r="564">
      <c r="A564" s="2">
        <v>46088.0</v>
      </c>
      <c r="B564" s="1">
        <v>211800.0</v>
      </c>
      <c r="C564" s="1">
        <v>36000.0</v>
      </c>
      <c r="D564" s="1">
        <v>0.0</v>
      </c>
      <c r="E564" s="1">
        <v>0.0</v>
      </c>
      <c r="F564" s="1">
        <v>0.0</v>
      </c>
      <c r="G564" s="1">
        <v>247800.0</v>
      </c>
    </row>
    <row r="565">
      <c r="A565" s="2">
        <v>46089.0</v>
      </c>
      <c r="B565" s="1">
        <v>128800.0</v>
      </c>
      <c r="C565" s="1">
        <v>0.0</v>
      </c>
      <c r="D565" s="1">
        <v>0.0</v>
      </c>
      <c r="E565" s="1">
        <v>0.0</v>
      </c>
      <c r="F565" s="1">
        <v>0.0</v>
      </c>
      <c r="G565" s="1">
        <v>128800.0</v>
      </c>
    </row>
    <row r="566">
      <c r="A566" s="2">
        <v>46090.0</v>
      </c>
      <c r="B566" s="1">
        <v>184000.0</v>
      </c>
      <c r="C566" s="1">
        <v>10000.0</v>
      </c>
      <c r="D566" s="1">
        <v>0.0</v>
      </c>
      <c r="E566" s="1">
        <v>0.0</v>
      </c>
      <c r="F566" s="1">
        <v>0.0</v>
      </c>
      <c r="G566" s="1">
        <v>194000.0</v>
      </c>
    </row>
    <row r="567">
      <c r="A567" s="2">
        <v>46091.0</v>
      </c>
      <c r="B567" s="1">
        <v>166400.0</v>
      </c>
      <c r="C567" s="1">
        <v>16000.0</v>
      </c>
      <c r="D567" s="1">
        <v>0.0</v>
      </c>
      <c r="E567" s="1">
        <v>0.0</v>
      </c>
      <c r="F567" s="1">
        <v>0.0</v>
      </c>
      <c r="G567" s="1">
        <v>182400.0</v>
      </c>
    </row>
    <row r="568">
      <c r="A568" s="2">
        <v>46092.0</v>
      </c>
      <c r="B568" s="1">
        <v>261300.0</v>
      </c>
      <c r="C568" s="1">
        <v>18000.0</v>
      </c>
      <c r="D568" s="1">
        <v>0.0</v>
      </c>
      <c r="E568" s="1">
        <v>0.0</v>
      </c>
      <c r="F568" s="1">
        <v>0.0</v>
      </c>
      <c r="G568" s="1">
        <v>279300.0</v>
      </c>
    </row>
    <row r="569">
      <c r="A569" s="2">
        <v>46093.0</v>
      </c>
      <c r="B569" s="1">
        <v>374500.0</v>
      </c>
      <c r="C569" s="1">
        <v>40000.0</v>
      </c>
      <c r="D569" s="1">
        <v>0.0</v>
      </c>
      <c r="E569" s="1">
        <v>0.0</v>
      </c>
      <c r="F569" s="1">
        <v>0.0</v>
      </c>
      <c r="G569" s="1">
        <v>414500.0</v>
      </c>
    </row>
    <row r="570">
      <c r="A570" s="2">
        <v>46094.0</v>
      </c>
      <c r="B570" s="1">
        <v>259700.0</v>
      </c>
      <c r="C570" s="1">
        <v>18000.0</v>
      </c>
      <c r="D570" s="1">
        <v>0.0</v>
      </c>
      <c r="E570" s="1">
        <v>0.0</v>
      </c>
      <c r="F570" s="1">
        <v>0.0</v>
      </c>
      <c r="G570" s="1">
        <v>277700.0</v>
      </c>
    </row>
    <row r="571">
      <c r="A571" s="2">
        <v>46095.0</v>
      </c>
      <c r="B571" s="1">
        <v>238900.0</v>
      </c>
      <c r="C571" s="1">
        <v>28000.0</v>
      </c>
      <c r="D571" s="1">
        <v>0.0</v>
      </c>
      <c r="E571" s="1">
        <v>0.0</v>
      </c>
      <c r="F571" s="1">
        <v>0.0</v>
      </c>
      <c r="G571" s="1">
        <v>266900.0</v>
      </c>
    </row>
    <row r="572">
      <c r="A572" s="2">
        <v>46096.0</v>
      </c>
      <c r="B572" s="1">
        <v>81500.0</v>
      </c>
      <c r="C572" s="1">
        <v>12000.0</v>
      </c>
      <c r="D572" s="1">
        <v>0.0</v>
      </c>
      <c r="E572" s="1">
        <v>0.0</v>
      </c>
      <c r="F572" s="1">
        <v>0.0</v>
      </c>
      <c r="G572" s="1">
        <v>93500.0</v>
      </c>
    </row>
    <row r="573">
      <c r="A573" s="2">
        <v>46097.0</v>
      </c>
      <c r="B573" s="1">
        <v>104500.0</v>
      </c>
      <c r="C573" s="1">
        <v>18000.0</v>
      </c>
      <c r="D573" s="1">
        <v>0.0</v>
      </c>
      <c r="E573" s="1">
        <v>0.0</v>
      </c>
      <c r="F573" s="1">
        <v>0.0</v>
      </c>
      <c r="G573" s="1">
        <v>122500.0</v>
      </c>
    </row>
    <row r="574">
      <c r="A574" s="2">
        <v>46098.0</v>
      </c>
      <c r="B574" s="1">
        <v>202500.0</v>
      </c>
      <c r="C574" s="1">
        <v>42000.0</v>
      </c>
      <c r="D574" s="1">
        <v>0.0</v>
      </c>
      <c r="E574" s="1">
        <v>0.0</v>
      </c>
      <c r="F574" s="1">
        <v>0.0</v>
      </c>
      <c r="G574" s="1">
        <v>244500.0</v>
      </c>
    </row>
    <row r="575">
      <c r="A575" s="2">
        <v>46099.0</v>
      </c>
      <c r="B575" s="1">
        <v>208500.0</v>
      </c>
      <c r="C575" s="1">
        <v>22000.0</v>
      </c>
      <c r="D575" s="1">
        <v>0.0</v>
      </c>
      <c r="E575" s="1">
        <v>0.0</v>
      </c>
      <c r="F575" s="1">
        <v>0.0</v>
      </c>
      <c r="G575" s="1">
        <v>230500.0</v>
      </c>
    </row>
    <row r="576">
      <c r="A576" s="2">
        <v>46100.0</v>
      </c>
      <c r="B576" s="1">
        <v>304300.0</v>
      </c>
      <c r="C576" s="1">
        <v>0.0</v>
      </c>
      <c r="D576" s="1">
        <v>0.0</v>
      </c>
      <c r="E576" s="1">
        <v>0.0</v>
      </c>
      <c r="F576" s="1">
        <v>0.0</v>
      </c>
      <c r="G576" s="1">
        <v>304300.0</v>
      </c>
    </row>
    <row r="577">
      <c r="A577" s="2">
        <v>46101.0</v>
      </c>
      <c r="B577" s="1">
        <v>335150.0</v>
      </c>
      <c r="C577" s="1">
        <v>48000.0</v>
      </c>
      <c r="D577" s="1">
        <v>0.0</v>
      </c>
      <c r="E577" s="1">
        <v>0.0</v>
      </c>
      <c r="F577" s="1">
        <v>0.0</v>
      </c>
      <c r="G577" s="1">
        <v>383150.0</v>
      </c>
    </row>
    <row r="578">
      <c r="A578" s="2">
        <v>46102.0</v>
      </c>
      <c r="B578" s="1">
        <v>128900.0</v>
      </c>
      <c r="C578" s="1">
        <v>0.0</v>
      </c>
      <c r="D578" s="1">
        <v>0.0</v>
      </c>
      <c r="E578" s="1">
        <v>0.0</v>
      </c>
      <c r="F578" s="1">
        <v>0.0</v>
      </c>
      <c r="G578" s="1">
        <v>128900.0</v>
      </c>
    </row>
    <row r="579">
      <c r="A579" s="2">
        <v>46103.0</v>
      </c>
      <c r="B579" s="1">
        <v>159400.0</v>
      </c>
      <c r="C579" s="1">
        <v>4000.0</v>
      </c>
      <c r="D579" s="1">
        <v>0.0</v>
      </c>
      <c r="E579" s="1">
        <v>0.0</v>
      </c>
      <c r="F579" s="1">
        <v>0.0</v>
      </c>
      <c r="G579" s="1">
        <v>163400.0</v>
      </c>
    </row>
    <row r="580">
      <c r="A580" s="2">
        <v>46104.0</v>
      </c>
      <c r="B580" s="1">
        <v>115500.0</v>
      </c>
      <c r="C580" s="1">
        <v>12000.0</v>
      </c>
      <c r="D580" s="1">
        <v>0.0</v>
      </c>
      <c r="E580" s="1">
        <v>0.0</v>
      </c>
      <c r="F580" s="1">
        <v>0.0</v>
      </c>
      <c r="G580" s="1">
        <v>127500.0</v>
      </c>
    </row>
    <row r="581">
      <c r="A581" s="1" t="s">
        <v>78</v>
      </c>
      <c r="B581" s="1">
        <v>42100.0</v>
      </c>
      <c r="C581" s="1">
        <v>0.0</v>
      </c>
      <c r="D581" s="1">
        <v>0.0</v>
      </c>
      <c r="E581" s="1">
        <v>0.0</v>
      </c>
      <c r="F581" s="1">
        <v>0.0</v>
      </c>
      <c r="G581" s="1">
        <v>42100.0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5" t="s">
        <v>79</v>
      </c>
      <c r="B1" s="5" t="s">
        <v>80</v>
      </c>
      <c r="C1" s="5" t="s">
        <v>81</v>
      </c>
      <c r="D1" s="5" t="s">
        <v>82</v>
      </c>
      <c r="E1" s="1" t="s">
        <v>83</v>
      </c>
      <c r="F1" s="5" t="s">
        <v>84</v>
      </c>
    </row>
    <row r="2">
      <c r="A2" s="1" t="s">
        <v>85</v>
      </c>
      <c r="B2" s="1" t="s">
        <v>86</v>
      </c>
      <c r="C2" s="15">
        <f>+36202822258</f>
        <v>36202822258</v>
      </c>
      <c r="D2" s="1">
        <v>6.0</v>
      </c>
      <c r="E2" s="1">
        <v>45.0</v>
      </c>
      <c r="F2" s="1">
        <v>472200.0</v>
      </c>
    </row>
    <row r="3">
      <c r="A3" s="1" t="s">
        <v>87</v>
      </c>
      <c r="B3" s="1" t="s">
        <v>88</v>
      </c>
      <c r="C3" s="15">
        <f>+36703231149</f>
        <v>36703231149</v>
      </c>
      <c r="D3" s="1">
        <v>22.0</v>
      </c>
      <c r="E3" s="1">
        <v>21.0</v>
      </c>
      <c r="F3" s="1">
        <v>220700.0</v>
      </c>
    </row>
    <row r="4">
      <c r="A4" s="1" t="s">
        <v>89</v>
      </c>
      <c r="B4" s="1" t="s">
        <v>90</v>
      </c>
      <c r="C4" s="15">
        <f>+36305933686</f>
        <v>36305933686</v>
      </c>
      <c r="D4" s="1">
        <v>12.0</v>
      </c>
      <c r="E4" s="1">
        <v>21.0</v>
      </c>
      <c r="F4" s="1">
        <v>52700.0</v>
      </c>
    </row>
    <row r="5">
      <c r="A5" s="1" t="s">
        <v>91</v>
      </c>
      <c r="B5" s="1" t="s">
        <v>92</v>
      </c>
      <c r="C5" s="15">
        <f>+36308228017</f>
        <v>36308228017</v>
      </c>
      <c r="D5" s="1">
        <v>8.0</v>
      </c>
      <c r="E5" s="1">
        <v>21.0</v>
      </c>
      <c r="F5" s="1">
        <v>165600.0</v>
      </c>
    </row>
    <row r="6">
      <c r="A6" s="1" t="s">
        <v>93</v>
      </c>
      <c r="B6" s="1" t="s">
        <v>94</v>
      </c>
      <c r="C6" s="15">
        <f>+36204139641</f>
        <v>36204139641</v>
      </c>
      <c r="D6" s="1">
        <v>16.0</v>
      </c>
      <c r="E6" s="1">
        <v>20.0</v>
      </c>
      <c r="F6" s="1">
        <v>83400.0</v>
      </c>
    </row>
    <row r="7">
      <c r="A7" s="1" t="s">
        <v>95</v>
      </c>
      <c r="B7" s="1" t="s">
        <v>96</v>
      </c>
      <c r="C7" s="15">
        <f>+36703127276</f>
        <v>36703127276</v>
      </c>
      <c r="D7" s="1">
        <v>11.0</v>
      </c>
      <c r="E7" s="1">
        <v>19.0</v>
      </c>
      <c r="F7" s="1">
        <v>202500.0</v>
      </c>
    </row>
    <row r="8">
      <c r="A8" s="1" t="s">
        <v>97</v>
      </c>
      <c r="B8" s="1" t="s">
        <v>98</v>
      </c>
      <c r="C8" s="15">
        <f>+36204684723</f>
        <v>36204684723</v>
      </c>
      <c r="D8" s="1">
        <v>10.0</v>
      </c>
      <c r="E8" s="1">
        <v>19.0</v>
      </c>
      <c r="F8" s="1">
        <v>147200.0</v>
      </c>
    </row>
    <row r="9">
      <c r="A9" s="1" t="s">
        <v>99</v>
      </c>
      <c r="B9" s="1" t="s">
        <v>100</v>
      </c>
      <c r="C9" s="15">
        <f>+36309975788</f>
        <v>36309975788</v>
      </c>
      <c r="D9" s="1">
        <v>18.0</v>
      </c>
      <c r="E9" s="1">
        <v>17.0</v>
      </c>
      <c r="F9" s="1">
        <v>200300.0</v>
      </c>
    </row>
    <row r="10">
      <c r="A10" s="1" t="s">
        <v>101</v>
      </c>
      <c r="B10" s="1" t="s">
        <v>102</v>
      </c>
      <c r="C10" s="15">
        <f>+36204279775</f>
        <v>36204279775</v>
      </c>
      <c r="D10" s="1">
        <v>17.0</v>
      </c>
      <c r="E10" s="1">
        <v>17.0</v>
      </c>
      <c r="F10" s="1">
        <v>92000.0</v>
      </c>
    </row>
    <row r="11">
      <c r="A11" s="1" t="s">
        <v>103</v>
      </c>
      <c r="B11" s="1" t="s">
        <v>104</v>
      </c>
      <c r="C11" s="15">
        <f>+36302070456</f>
        <v>36302070456</v>
      </c>
      <c r="D11" s="1">
        <v>8.0</v>
      </c>
      <c r="E11" s="1">
        <v>17.0</v>
      </c>
      <c r="F11" s="1">
        <v>122900.0</v>
      </c>
    </row>
    <row r="12">
      <c r="A12" s="1" t="s">
        <v>105</v>
      </c>
      <c r="B12" s="1" t="s">
        <v>106</v>
      </c>
      <c r="C12" s="15">
        <f>+36202469907</f>
        <v>36202469907</v>
      </c>
      <c r="D12" s="1">
        <v>14.0</v>
      </c>
      <c r="E12" s="1">
        <v>16.0</v>
      </c>
      <c r="F12" s="1">
        <v>202200.0</v>
      </c>
    </row>
    <row r="13">
      <c r="A13" s="1" t="s">
        <v>107</v>
      </c>
      <c r="B13" s="1" t="s">
        <v>108</v>
      </c>
      <c r="C13" s="15">
        <f>+36307160179</f>
        <v>36307160179</v>
      </c>
      <c r="D13" s="1">
        <v>11.0</v>
      </c>
      <c r="E13" s="1">
        <v>16.0</v>
      </c>
      <c r="F13" s="1">
        <v>139800.0</v>
      </c>
    </row>
    <row r="14">
      <c r="A14" s="1" t="s">
        <v>109</v>
      </c>
      <c r="B14" s="1" t="s">
        <v>110</v>
      </c>
      <c r="C14" s="15">
        <f>+36706384225</f>
        <v>36706384225</v>
      </c>
      <c r="D14" s="1">
        <v>5.0</v>
      </c>
      <c r="E14" s="1">
        <v>16.0</v>
      </c>
      <c r="F14" s="1">
        <v>128400.0</v>
      </c>
    </row>
    <row r="15">
      <c r="A15" s="1" t="s">
        <v>111</v>
      </c>
      <c r="B15" s="1" t="s">
        <v>112</v>
      </c>
      <c r="C15" s="15">
        <f>+36202276425</f>
        <v>36202276425</v>
      </c>
      <c r="D15" s="1">
        <v>8.0</v>
      </c>
      <c r="E15" s="1">
        <v>15.0</v>
      </c>
      <c r="F15" s="1">
        <v>99600.0</v>
      </c>
    </row>
    <row r="16">
      <c r="A16" s="1" t="s">
        <v>113</v>
      </c>
      <c r="B16" s="1" t="s">
        <v>114</v>
      </c>
      <c r="C16" s="15">
        <f>+36703156098</f>
        <v>36703156098</v>
      </c>
      <c r="D16" s="1">
        <v>10.0</v>
      </c>
      <c r="E16" s="1">
        <v>13.0</v>
      </c>
      <c r="F16" s="1">
        <v>116400.0</v>
      </c>
    </row>
    <row r="17">
      <c r="A17" s="1" t="s">
        <v>115</v>
      </c>
      <c r="B17" s="1" t="s">
        <v>116</v>
      </c>
      <c r="C17" s="15">
        <f>+36303686166</f>
        <v>36303686166</v>
      </c>
      <c r="D17" s="1">
        <v>10.0</v>
      </c>
      <c r="E17" s="1">
        <v>13.0</v>
      </c>
      <c r="F17" s="1">
        <v>146400.0</v>
      </c>
    </row>
    <row r="18">
      <c r="A18" s="1" t="s">
        <v>117</v>
      </c>
      <c r="B18" s="1" t="s">
        <v>118</v>
      </c>
      <c r="C18" s="15">
        <f>+36303643639</f>
        <v>36303643639</v>
      </c>
      <c r="D18" s="1">
        <v>10.0</v>
      </c>
      <c r="E18" s="1">
        <v>13.0</v>
      </c>
      <c r="F18" s="1">
        <v>208200.0</v>
      </c>
    </row>
    <row r="19">
      <c r="A19" s="1" t="s">
        <v>119</v>
      </c>
      <c r="B19" s="1" t="s">
        <v>120</v>
      </c>
      <c r="C19" s="15">
        <f>+36301831778</f>
        <v>36301831778</v>
      </c>
      <c r="D19" s="1">
        <v>18.0</v>
      </c>
      <c r="E19" s="1">
        <v>12.0</v>
      </c>
      <c r="F19" s="1">
        <v>171200.0</v>
      </c>
    </row>
    <row r="20">
      <c r="A20" s="1" t="s">
        <v>121</v>
      </c>
      <c r="B20" s="1" t="s">
        <v>122</v>
      </c>
      <c r="C20" s="15">
        <f>+36302891814</f>
        <v>36302891814</v>
      </c>
      <c r="D20" s="1">
        <v>8.0</v>
      </c>
      <c r="E20" s="1">
        <v>12.0</v>
      </c>
      <c r="F20" s="1">
        <v>115800.0</v>
      </c>
    </row>
    <row r="21">
      <c r="A21" s="1" t="s">
        <v>123</v>
      </c>
      <c r="B21" s="1" t="s">
        <v>124</v>
      </c>
      <c r="C21" s="15">
        <f>+36707015049</f>
        <v>36707015049</v>
      </c>
      <c r="D21" s="1">
        <v>8.0</v>
      </c>
      <c r="E21" s="1">
        <v>12.0</v>
      </c>
      <c r="F21" s="1">
        <v>129900.0</v>
      </c>
    </row>
    <row r="22">
      <c r="A22" s="1" t="s">
        <v>125</v>
      </c>
      <c r="B22" s="1" t="s">
        <v>126</v>
      </c>
      <c r="C22" s="15">
        <f>+36208234797</f>
        <v>36208234797</v>
      </c>
      <c r="D22" s="1">
        <v>10.0</v>
      </c>
      <c r="E22" s="1">
        <v>12.0</v>
      </c>
      <c r="F22" s="1">
        <v>144900.0</v>
      </c>
    </row>
    <row r="23">
      <c r="A23" s="1" t="s">
        <v>127</v>
      </c>
      <c r="B23" s="1" t="s">
        <v>128</v>
      </c>
      <c r="C23" s="15">
        <f>+36204003224</f>
        <v>36204003224</v>
      </c>
      <c r="D23" s="1">
        <v>7.0</v>
      </c>
      <c r="E23" s="1">
        <v>11.0</v>
      </c>
      <c r="F23" s="1">
        <v>101500.0</v>
      </c>
    </row>
    <row r="24">
      <c r="A24" s="1" t="s">
        <v>129</v>
      </c>
      <c r="B24" s="1" t="s">
        <v>130</v>
      </c>
      <c r="C24" s="15">
        <f>+36303941701</f>
        <v>36303941701</v>
      </c>
      <c r="D24" s="1">
        <v>8.0</v>
      </c>
      <c r="E24" s="1">
        <v>11.0</v>
      </c>
      <c r="F24" s="1">
        <v>82100.0</v>
      </c>
    </row>
    <row r="25">
      <c r="A25" s="1" t="s">
        <v>131</v>
      </c>
      <c r="B25" s="1" t="s">
        <v>132</v>
      </c>
      <c r="C25" s="15">
        <f>+36704085193</f>
        <v>36704085193</v>
      </c>
      <c r="D25" s="1">
        <v>7.0</v>
      </c>
      <c r="E25" s="1">
        <v>11.0</v>
      </c>
      <c r="F25" s="1">
        <v>94900.0</v>
      </c>
    </row>
    <row r="26">
      <c r="A26" s="1" t="s">
        <v>133</v>
      </c>
      <c r="B26" s="1" t="s">
        <v>134</v>
      </c>
      <c r="C26" s="15">
        <f>+40752486636</f>
        <v>40752486636</v>
      </c>
      <c r="D26" s="1">
        <v>1.0</v>
      </c>
      <c r="E26" s="1">
        <v>10.0</v>
      </c>
      <c r="F26" s="1">
        <v>90000.0</v>
      </c>
    </row>
    <row r="27">
      <c r="A27" s="1" t="s">
        <v>135</v>
      </c>
      <c r="B27" s="1" t="s">
        <v>136</v>
      </c>
      <c r="C27" s="15">
        <f>+36304350173</f>
        <v>36304350173</v>
      </c>
      <c r="D27" s="1">
        <v>5.0</v>
      </c>
      <c r="E27" s="1">
        <v>10.0</v>
      </c>
      <c r="F27" s="1">
        <v>118400.0</v>
      </c>
    </row>
    <row r="28">
      <c r="A28" s="1" t="s">
        <v>137</v>
      </c>
      <c r="B28" s="1" t="s">
        <v>138</v>
      </c>
      <c r="C28" s="15">
        <f>+387603381546</f>
        <v>387603381546</v>
      </c>
      <c r="D28" s="1">
        <v>3.0</v>
      </c>
      <c r="E28" s="1">
        <v>10.0</v>
      </c>
      <c r="F28" s="1">
        <v>131800.0</v>
      </c>
    </row>
    <row r="29">
      <c r="A29" s="1" t="s">
        <v>139</v>
      </c>
      <c r="B29" s="1" t="s">
        <v>140</v>
      </c>
      <c r="C29" s="15">
        <f>+36704219429</f>
        <v>36704219429</v>
      </c>
      <c r="D29" s="1">
        <v>10.0</v>
      </c>
      <c r="E29" s="1">
        <v>10.0</v>
      </c>
      <c r="F29" s="1">
        <v>207500.0</v>
      </c>
    </row>
    <row r="30">
      <c r="A30" s="1" t="s">
        <v>141</v>
      </c>
      <c r="B30" s="1" t="s">
        <v>142</v>
      </c>
      <c r="C30" s="15">
        <f>+36301968164</f>
        <v>36301968164</v>
      </c>
      <c r="D30" s="1">
        <v>12.0</v>
      </c>
      <c r="E30" s="1">
        <v>10.0</v>
      </c>
      <c r="F30" s="1">
        <v>133800.0</v>
      </c>
    </row>
    <row r="31">
      <c r="A31" s="1" t="s">
        <v>143</v>
      </c>
      <c r="B31" s="1" t="s">
        <v>144</v>
      </c>
      <c r="C31" s="15">
        <f>+36301226488</f>
        <v>36301226488</v>
      </c>
      <c r="D31" s="1">
        <v>7.0</v>
      </c>
      <c r="E31" s="1">
        <v>10.0</v>
      </c>
      <c r="F31" s="1">
        <v>127000.0</v>
      </c>
    </row>
    <row r="32">
      <c r="A32" s="1" t="s">
        <v>145</v>
      </c>
      <c r="B32" s="1" t="s">
        <v>146</v>
      </c>
      <c r="C32" s="15">
        <f>+421915634737</f>
        <v>421915634737</v>
      </c>
      <c r="D32" s="1">
        <v>7.0</v>
      </c>
      <c r="E32" s="1">
        <v>10.0</v>
      </c>
      <c r="F32" s="1">
        <v>99800.0</v>
      </c>
    </row>
    <row r="33">
      <c r="A33" s="1" t="s">
        <v>147</v>
      </c>
      <c r="B33" s="1" t="s">
        <v>148</v>
      </c>
      <c r="C33" s="15">
        <f>+36705585550</f>
        <v>36705585550</v>
      </c>
      <c r="D33" s="1">
        <v>5.0</v>
      </c>
      <c r="E33" s="1">
        <v>10.0</v>
      </c>
      <c r="F33" s="1">
        <v>77900.0</v>
      </c>
    </row>
    <row r="34">
      <c r="A34" s="1" t="s">
        <v>149</v>
      </c>
      <c r="B34" s="1" t="s">
        <v>150</v>
      </c>
      <c r="C34" s="15">
        <f>+36209213365</f>
        <v>36209213365</v>
      </c>
      <c r="D34" s="1">
        <v>8.0</v>
      </c>
      <c r="E34" s="1">
        <v>9.0</v>
      </c>
      <c r="F34" s="1">
        <v>114800.0</v>
      </c>
    </row>
    <row r="35">
      <c r="A35" s="1" t="s">
        <v>151</v>
      </c>
      <c r="B35" s="1" t="s">
        <v>152</v>
      </c>
      <c r="C35" s="15">
        <f>+36304854978</f>
        <v>36304854978</v>
      </c>
      <c r="D35" s="1">
        <v>6.0</v>
      </c>
      <c r="E35" s="1">
        <v>9.0</v>
      </c>
      <c r="F35" s="1">
        <v>42500.0</v>
      </c>
    </row>
    <row r="36">
      <c r="A36" s="1" t="s">
        <v>153</v>
      </c>
      <c r="B36" s="1" t="s">
        <v>154</v>
      </c>
      <c r="C36" s="15">
        <f>+36302025600</f>
        <v>36302025600</v>
      </c>
      <c r="D36" s="1">
        <v>10.0</v>
      </c>
      <c r="E36" s="1">
        <v>9.0</v>
      </c>
      <c r="F36" s="1">
        <v>139400.0</v>
      </c>
    </row>
    <row r="37">
      <c r="A37" s="1" t="s">
        <v>155</v>
      </c>
      <c r="B37" s="1" t="s">
        <v>156</v>
      </c>
      <c r="C37" s="15">
        <f>+36705425509</f>
        <v>36705425509</v>
      </c>
      <c r="D37" s="1">
        <v>8.0</v>
      </c>
      <c r="E37" s="1">
        <v>9.0</v>
      </c>
      <c r="F37" s="1">
        <v>119500.0</v>
      </c>
    </row>
    <row r="38">
      <c r="A38" s="1" t="s">
        <v>157</v>
      </c>
      <c r="B38" s="1" t="s">
        <v>158</v>
      </c>
      <c r="C38" s="15">
        <f>+36306434303</f>
        <v>36306434303</v>
      </c>
      <c r="D38" s="1">
        <v>8.0</v>
      </c>
      <c r="E38" s="1">
        <v>9.0</v>
      </c>
      <c r="F38" s="1">
        <v>94900.0</v>
      </c>
    </row>
    <row r="39">
      <c r="A39" s="1" t="s">
        <v>159</v>
      </c>
      <c r="B39" s="1" t="s">
        <v>160</v>
      </c>
      <c r="C39" s="15">
        <f>+36209447134</f>
        <v>36209447134</v>
      </c>
      <c r="D39" s="1">
        <v>6.0</v>
      </c>
      <c r="E39" s="1">
        <v>9.0</v>
      </c>
      <c r="F39" s="1">
        <v>94300.0</v>
      </c>
    </row>
    <row r="40">
      <c r="A40" s="1" t="s">
        <v>161</v>
      </c>
      <c r="B40" s="1" t="s">
        <v>162</v>
      </c>
      <c r="C40" s="15">
        <f>+36202137882</f>
        <v>36202137882</v>
      </c>
      <c r="D40" s="1">
        <v>8.0</v>
      </c>
      <c r="E40" s="1">
        <v>9.0</v>
      </c>
      <c r="F40" s="1">
        <v>94300.0</v>
      </c>
    </row>
    <row r="41">
      <c r="A41" s="1" t="s">
        <v>163</v>
      </c>
      <c r="B41" s="1" t="s">
        <v>164</v>
      </c>
      <c r="C41" s="15">
        <f>+36709410620</f>
        <v>36709410620</v>
      </c>
      <c r="D41" s="1">
        <v>7.0</v>
      </c>
      <c r="E41" s="1">
        <v>9.0</v>
      </c>
      <c r="F41" s="1">
        <v>103400.0</v>
      </c>
    </row>
    <row r="42">
      <c r="A42" s="1" t="s">
        <v>165</v>
      </c>
      <c r="B42" s="1" t="s">
        <v>166</v>
      </c>
      <c r="C42" s="15">
        <f>+36705997716</f>
        <v>36705997716</v>
      </c>
      <c r="D42" s="1">
        <v>7.0</v>
      </c>
      <c r="E42" s="1">
        <v>9.0</v>
      </c>
      <c r="F42" s="1">
        <v>96700.0</v>
      </c>
    </row>
    <row r="43">
      <c r="A43" s="1" t="s">
        <v>167</v>
      </c>
      <c r="B43" s="1" t="s">
        <v>168</v>
      </c>
      <c r="C43" s="15">
        <f>+36303165440</f>
        <v>36303165440</v>
      </c>
      <c r="D43" s="1">
        <v>9.0</v>
      </c>
      <c r="E43" s="1">
        <v>9.0</v>
      </c>
      <c r="F43" s="1">
        <v>71400.0</v>
      </c>
    </row>
    <row r="44">
      <c r="A44" s="1" t="s">
        <v>169</v>
      </c>
      <c r="B44" s="1" t="s">
        <v>170</v>
      </c>
      <c r="C44" s="15">
        <f>+36202832631</f>
        <v>36202832631</v>
      </c>
      <c r="D44" s="1">
        <v>6.0</v>
      </c>
      <c r="E44" s="1">
        <v>9.0</v>
      </c>
      <c r="F44" s="1">
        <v>84000.0</v>
      </c>
    </row>
    <row r="45">
      <c r="A45" s="1" t="s">
        <v>171</v>
      </c>
      <c r="B45" s="1" t="s">
        <v>172</v>
      </c>
      <c r="C45" s="15">
        <f>+36706637592</f>
        <v>36706637592</v>
      </c>
      <c r="D45" s="1">
        <v>7.0</v>
      </c>
      <c r="E45" s="1">
        <v>9.0</v>
      </c>
      <c r="F45" s="1">
        <v>83900.0</v>
      </c>
    </row>
    <row r="46">
      <c r="A46" s="1" t="s">
        <v>173</v>
      </c>
      <c r="B46" s="1" t="s">
        <v>174</v>
      </c>
      <c r="C46" s="15">
        <f>+36301395916</f>
        <v>36301395916</v>
      </c>
      <c r="D46" s="1">
        <v>6.0</v>
      </c>
      <c r="E46" s="1">
        <v>8.0</v>
      </c>
      <c r="F46" s="1">
        <v>72600.0</v>
      </c>
    </row>
    <row r="47">
      <c r="A47" s="1" t="s">
        <v>175</v>
      </c>
      <c r="B47" s="1" t="s">
        <v>176</v>
      </c>
      <c r="C47" s="15">
        <f>+36303480622</f>
        <v>36303480622</v>
      </c>
      <c r="D47" s="1">
        <v>7.0</v>
      </c>
      <c r="E47" s="1">
        <v>8.0</v>
      </c>
      <c r="F47" s="1">
        <v>87400.0</v>
      </c>
    </row>
    <row r="48">
      <c r="A48" s="1" t="s">
        <v>177</v>
      </c>
      <c r="B48" s="1" t="s">
        <v>178</v>
      </c>
      <c r="C48" s="15">
        <f>+36202226441</f>
        <v>36202226441</v>
      </c>
      <c r="D48" s="1">
        <v>7.0</v>
      </c>
      <c r="E48" s="1">
        <v>8.0</v>
      </c>
      <c r="F48" s="1">
        <v>90800.0</v>
      </c>
    </row>
    <row r="49">
      <c r="A49" s="1" t="s">
        <v>179</v>
      </c>
      <c r="B49" s="1" t="s">
        <v>180</v>
      </c>
      <c r="C49" s="15">
        <f>+36703158867</f>
        <v>36703158867</v>
      </c>
      <c r="D49" s="1">
        <v>7.0</v>
      </c>
      <c r="E49" s="1">
        <v>8.0</v>
      </c>
      <c r="F49" s="1">
        <v>92800.0</v>
      </c>
    </row>
    <row r="50">
      <c r="A50" s="1" t="s">
        <v>181</v>
      </c>
      <c r="B50" s="1" t="s">
        <v>182</v>
      </c>
      <c r="C50" s="15">
        <f>+36706060699</f>
        <v>36706060699</v>
      </c>
      <c r="D50" s="1">
        <v>8.0</v>
      </c>
      <c r="E50" s="1">
        <v>8.0</v>
      </c>
      <c r="F50" s="1">
        <v>69400.0</v>
      </c>
    </row>
    <row r="51">
      <c r="A51" s="1" t="s">
        <v>183</v>
      </c>
      <c r="B51" s="1" t="s">
        <v>184</v>
      </c>
      <c r="C51" s="15">
        <f>+36301830633</f>
        <v>36301830633</v>
      </c>
      <c r="D51" s="1">
        <v>5.0</v>
      </c>
      <c r="E51" s="1">
        <v>8.0</v>
      </c>
      <c r="F51" s="1">
        <v>70300.0</v>
      </c>
    </row>
    <row r="52">
      <c r="A52" s="1" t="s">
        <v>185</v>
      </c>
      <c r="B52" s="1" t="s">
        <v>186</v>
      </c>
      <c r="C52" s="15">
        <f>+40744605911</f>
        <v>40744605911</v>
      </c>
      <c r="D52" s="1">
        <v>5.0</v>
      </c>
      <c r="E52" s="1">
        <v>8.0</v>
      </c>
      <c r="F52" s="1">
        <v>92500.0</v>
      </c>
    </row>
    <row r="53">
      <c r="A53" s="1" t="s">
        <v>187</v>
      </c>
      <c r="B53" s="1" t="s">
        <v>188</v>
      </c>
      <c r="C53" s="15">
        <f>+36304755183</f>
        <v>36304755183</v>
      </c>
      <c r="D53" s="1">
        <v>8.0</v>
      </c>
      <c r="E53" s="1">
        <v>8.0</v>
      </c>
      <c r="F53" s="1">
        <v>105500.0</v>
      </c>
    </row>
    <row r="54">
      <c r="A54" s="1" t="s">
        <v>189</v>
      </c>
      <c r="B54" s="1" t="s">
        <v>190</v>
      </c>
      <c r="C54" s="15">
        <f>+36706054833</f>
        <v>36706054833</v>
      </c>
      <c r="D54" s="1">
        <v>5.0</v>
      </c>
      <c r="E54" s="1">
        <v>8.0</v>
      </c>
      <c r="F54" s="1">
        <v>90300.0</v>
      </c>
    </row>
    <row r="55">
      <c r="A55" s="1" t="s">
        <v>191</v>
      </c>
      <c r="B55" s="1" t="s">
        <v>192</v>
      </c>
      <c r="C55" s="15">
        <f>+36309478848</f>
        <v>36309478848</v>
      </c>
      <c r="D55" s="1">
        <v>4.0</v>
      </c>
      <c r="E55" s="1">
        <v>8.0</v>
      </c>
      <c r="F55" s="1">
        <v>78600.0</v>
      </c>
    </row>
    <row r="56">
      <c r="A56" s="1" t="s">
        <v>193</v>
      </c>
      <c r="B56" s="1" t="s">
        <v>194</v>
      </c>
      <c r="C56" s="15">
        <f>+36204215570</f>
        <v>36204215570</v>
      </c>
      <c r="D56" s="1">
        <v>12.0</v>
      </c>
      <c r="E56" s="1">
        <v>8.0</v>
      </c>
      <c r="F56" s="1">
        <v>79400.0</v>
      </c>
    </row>
    <row r="57">
      <c r="A57" s="1" t="s">
        <v>195</v>
      </c>
      <c r="B57" s="1" t="s">
        <v>196</v>
      </c>
      <c r="C57" s="15">
        <f>+36703793140</f>
        <v>36703793140</v>
      </c>
      <c r="D57" s="1">
        <v>6.0</v>
      </c>
      <c r="E57" s="1">
        <v>8.0</v>
      </c>
      <c r="F57" s="1">
        <v>78400.0</v>
      </c>
    </row>
    <row r="58">
      <c r="A58" s="1" t="s">
        <v>197</v>
      </c>
      <c r="B58" s="1" t="s">
        <v>198</v>
      </c>
      <c r="C58" s="15">
        <f>+36707706657</f>
        <v>36707706657</v>
      </c>
      <c r="D58" s="1">
        <v>5.0</v>
      </c>
      <c r="E58" s="1">
        <v>8.0</v>
      </c>
      <c r="F58" s="1">
        <v>78000.0</v>
      </c>
    </row>
    <row r="59">
      <c r="A59" s="1" t="s">
        <v>199</v>
      </c>
      <c r="B59" s="1" t="s">
        <v>200</v>
      </c>
      <c r="C59" s="15">
        <f>+36308680797</f>
        <v>36308680797</v>
      </c>
      <c r="D59" s="1">
        <v>4.0</v>
      </c>
      <c r="E59" s="1">
        <v>8.0</v>
      </c>
      <c r="F59" s="1">
        <v>76600.0</v>
      </c>
    </row>
    <row r="60">
      <c r="A60" s="1" t="s">
        <v>201</v>
      </c>
      <c r="B60" s="1" t="s">
        <v>202</v>
      </c>
      <c r="C60" s="15">
        <f>+36309521096</f>
        <v>36309521096</v>
      </c>
      <c r="D60" s="1">
        <v>6.0</v>
      </c>
      <c r="E60" s="1">
        <v>8.0</v>
      </c>
      <c r="F60" s="1">
        <v>64800.0</v>
      </c>
    </row>
    <row r="61">
      <c r="A61" s="1" t="s">
        <v>203</v>
      </c>
      <c r="B61" s="1" t="s">
        <v>204</v>
      </c>
      <c r="C61" s="15">
        <f>+36703311792</f>
        <v>36703311792</v>
      </c>
      <c r="D61" s="1">
        <v>6.0</v>
      </c>
      <c r="E61" s="1">
        <v>8.0</v>
      </c>
      <c r="F61" s="1">
        <v>76500.0</v>
      </c>
    </row>
    <row r="62">
      <c r="A62" s="1" t="s">
        <v>205</v>
      </c>
      <c r="B62" s="1" t="s">
        <v>206</v>
      </c>
      <c r="C62" s="15">
        <f>+36705123257</f>
        <v>36705123257</v>
      </c>
      <c r="D62" s="1">
        <v>6.0</v>
      </c>
      <c r="E62" s="1">
        <v>8.0</v>
      </c>
      <c r="F62" s="1">
        <v>67800.0</v>
      </c>
    </row>
    <row r="63">
      <c r="A63" s="1" t="s">
        <v>207</v>
      </c>
      <c r="B63" s="1" t="s">
        <v>208</v>
      </c>
      <c r="C63" s="15">
        <f>+36206612784</f>
        <v>36206612784</v>
      </c>
      <c r="D63" s="1">
        <v>4.0</v>
      </c>
      <c r="E63" s="1">
        <v>8.0</v>
      </c>
      <c r="F63" s="1">
        <v>71250.0</v>
      </c>
    </row>
    <row r="64">
      <c r="A64" s="1" t="s">
        <v>209</v>
      </c>
      <c r="B64" s="1" t="s">
        <v>210</v>
      </c>
      <c r="C64" s="15">
        <f>+36308921006</f>
        <v>36308921006</v>
      </c>
      <c r="D64" s="1">
        <v>7.0</v>
      </c>
      <c r="E64" s="1">
        <v>8.0</v>
      </c>
      <c r="F64" s="1">
        <v>61500.0</v>
      </c>
    </row>
    <row r="65">
      <c r="A65" s="1" t="s">
        <v>211</v>
      </c>
      <c r="B65" s="1" t="s">
        <v>212</v>
      </c>
      <c r="C65" s="15">
        <f>+36305309970</f>
        <v>36305309970</v>
      </c>
      <c r="D65" s="1">
        <v>6.0</v>
      </c>
      <c r="E65" s="1">
        <v>8.0</v>
      </c>
      <c r="F65" s="1">
        <v>163300.0</v>
      </c>
    </row>
    <row r="66">
      <c r="A66" s="1" t="s">
        <v>213</v>
      </c>
      <c r="B66" s="1" t="s">
        <v>214</v>
      </c>
      <c r="C66" s="15">
        <f>+38762882703</f>
        <v>38762882703</v>
      </c>
      <c r="D66" s="1">
        <v>3.0</v>
      </c>
      <c r="E66" s="1">
        <v>8.0</v>
      </c>
      <c r="F66" s="1">
        <v>93300.0</v>
      </c>
    </row>
    <row r="67">
      <c r="A67" s="1" t="s">
        <v>215</v>
      </c>
      <c r="B67" s="1" t="s">
        <v>216</v>
      </c>
      <c r="C67" s="15">
        <f>+36203378827</f>
        <v>36203378827</v>
      </c>
      <c r="D67" s="1">
        <v>9.0</v>
      </c>
      <c r="E67" s="1">
        <v>8.0</v>
      </c>
      <c r="F67" s="1">
        <v>85600.0</v>
      </c>
    </row>
    <row r="68">
      <c r="A68" s="1" t="s">
        <v>217</v>
      </c>
      <c r="B68" s="1" t="s">
        <v>218</v>
      </c>
      <c r="C68" s="15">
        <f>+421905653315</f>
        <v>421905653315</v>
      </c>
      <c r="D68" s="1">
        <v>7.0</v>
      </c>
      <c r="E68" s="1">
        <v>7.0</v>
      </c>
      <c r="F68" s="1">
        <v>72300.0</v>
      </c>
    </row>
    <row r="69">
      <c r="A69" s="1" t="s">
        <v>219</v>
      </c>
      <c r="B69" s="1" t="s">
        <v>220</v>
      </c>
      <c r="C69" s="15">
        <f>+36209721846</f>
        <v>36209721846</v>
      </c>
      <c r="D69" s="1">
        <v>7.0</v>
      </c>
      <c r="E69" s="1">
        <v>7.0</v>
      </c>
      <c r="F69" s="1">
        <v>53200.0</v>
      </c>
    </row>
    <row r="70">
      <c r="A70" s="1" t="s">
        <v>221</v>
      </c>
      <c r="B70" s="1" t="s">
        <v>222</v>
      </c>
      <c r="C70" s="15">
        <f>+36204446052</f>
        <v>36204446052</v>
      </c>
      <c r="D70" s="1">
        <v>6.0</v>
      </c>
      <c r="E70" s="1">
        <v>7.0</v>
      </c>
      <c r="F70" s="1">
        <v>63100.0</v>
      </c>
    </row>
    <row r="71">
      <c r="A71" s="1" t="s">
        <v>223</v>
      </c>
      <c r="B71" s="1" t="s">
        <v>224</v>
      </c>
      <c r="C71" s="15">
        <f>+36303794626</f>
        <v>36303794626</v>
      </c>
      <c r="D71" s="1">
        <v>6.0</v>
      </c>
      <c r="E71" s="1">
        <v>7.0</v>
      </c>
      <c r="F71" s="1">
        <v>20300.0</v>
      </c>
    </row>
    <row r="72">
      <c r="A72" s="1" t="s">
        <v>225</v>
      </c>
      <c r="B72" s="1" t="s">
        <v>226</v>
      </c>
      <c r="C72" s="15">
        <f>+36303498247</f>
        <v>36303498247</v>
      </c>
      <c r="D72" s="1">
        <v>7.0</v>
      </c>
      <c r="E72" s="1">
        <v>7.0</v>
      </c>
      <c r="F72" s="1">
        <v>75200.0</v>
      </c>
    </row>
    <row r="73">
      <c r="A73" s="1" t="s">
        <v>227</v>
      </c>
      <c r="B73" s="1" t="s">
        <v>228</v>
      </c>
      <c r="C73" s="15">
        <f>+36703691885</f>
        <v>36703691885</v>
      </c>
      <c r="D73" s="1">
        <v>8.0</v>
      </c>
      <c r="E73" s="1">
        <v>7.0</v>
      </c>
      <c r="F73" s="1">
        <v>79200.0</v>
      </c>
    </row>
    <row r="74">
      <c r="A74" s="1" t="s">
        <v>229</v>
      </c>
      <c r="B74" s="1" t="s">
        <v>230</v>
      </c>
      <c r="C74" s="15">
        <f>+36302694909</f>
        <v>36302694909</v>
      </c>
      <c r="D74" s="1">
        <v>7.0</v>
      </c>
      <c r="E74" s="1">
        <v>7.0</v>
      </c>
      <c r="F74" s="1">
        <v>67500.0</v>
      </c>
    </row>
    <row r="75">
      <c r="A75" s="1" t="s">
        <v>231</v>
      </c>
      <c r="B75" s="1" t="s">
        <v>232</v>
      </c>
      <c r="C75" s="15">
        <f>+36204159403</f>
        <v>36204159403</v>
      </c>
      <c r="D75" s="1">
        <v>6.0</v>
      </c>
      <c r="E75" s="1">
        <v>7.0</v>
      </c>
      <c r="F75" s="1">
        <v>82600.0</v>
      </c>
    </row>
    <row r="76">
      <c r="A76" s="1" t="s">
        <v>233</v>
      </c>
      <c r="B76" s="1" t="s">
        <v>234</v>
      </c>
      <c r="C76" s="15">
        <f>+36305463183</f>
        <v>36305463183</v>
      </c>
      <c r="D76" s="1">
        <v>6.0</v>
      </c>
      <c r="E76" s="1">
        <v>7.0</v>
      </c>
      <c r="F76" s="1">
        <v>74800.0</v>
      </c>
    </row>
    <row r="77">
      <c r="A77" s="1" t="s">
        <v>235</v>
      </c>
      <c r="B77" s="1" t="s">
        <v>236</v>
      </c>
      <c r="C77" s="15">
        <f>+36707794918</f>
        <v>36707794918</v>
      </c>
      <c r="D77" s="1">
        <v>3.0</v>
      </c>
      <c r="E77" s="1">
        <v>7.0</v>
      </c>
      <c r="F77" s="1">
        <v>72400.0</v>
      </c>
    </row>
    <row r="78">
      <c r="A78" s="1" t="s">
        <v>237</v>
      </c>
      <c r="B78" s="1" t="s">
        <v>238</v>
      </c>
      <c r="C78" s="15">
        <f>+36309535801</f>
        <v>36309535801</v>
      </c>
      <c r="D78" s="1">
        <v>6.0</v>
      </c>
      <c r="E78" s="1">
        <v>7.0</v>
      </c>
      <c r="F78" s="1">
        <v>78600.0</v>
      </c>
    </row>
    <row r="79">
      <c r="A79" s="1" t="s">
        <v>239</v>
      </c>
      <c r="B79" s="1" t="s">
        <v>240</v>
      </c>
      <c r="C79" s="15">
        <f>+36206276768</f>
        <v>36206276768</v>
      </c>
      <c r="D79" s="1">
        <v>4.0</v>
      </c>
      <c r="E79" s="1">
        <v>7.0</v>
      </c>
      <c r="F79" s="1">
        <v>77700.0</v>
      </c>
    </row>
    <row r="80">
      <c r="A80" s="1" t="s">
        <v>241</v>
      </c>
      <c r="B80" s="1" t="s">
        <v>242</v>
      </c>
      <c r="C80" s="15">
        <f>+36704244422</f>
        <v>36704244422</v>
      </c>
      <c r="D80" s="1">
        <v>6.0</v>
      </c>
      <c r="E80" s="1">
        <v>7.0</v>
      </c>
      <c r="F80" s="1">
        <v>52200.0</v>
      </c>
    </row>
    <row r="81">
      <c r="A81" s="1" t="s">
        <v>243</v>
      </c>
      <c r="B81" s="1" t="s">
        <v>244</v>
      </c>
      <c r="C81" s="15">
        <f>+36306779480</f>
        <v>36306779480</v>
      </c>
      <c r="D81" s="1">
        <v>9.0</v>
      </c>
      <c r="E81" s="1">
        <v>7.0</v>
      </c>
      <c r="F81" s="1">
        <v>65700.0</v>
      </c>
    </row>
    <row r="82">
      <c r="A82" s="1" t="s">
        <v>245</v>
      </c>
      <c r="B82" s="1" t="s">
        <v>246</v>
      </c>
      <c r="C82" s="15">
        <f>+36308865839</f>
        <v>36308865839</v>
      </c>
      <c r="D82" s="1">
        <v>3.0</v>
      </c>
      <c r="E82" s="1">
        <v>7.0</v>
      </c>
      <c r="F82" s="1">
        <v>45600.0</v>
      </c>
    </row>
    <row r="83">
      <c r="A83" s="1" t="s">
        <v>247</v>
      </c>
      <c r="B83" s="1" t="s">
        <v>248</v>
      </c>
      <c r="C83" s="15">
        <f>+36305575561</f>
        <v>36305575561</v>
      </c>
      <c r="D83" s="1">
        <v>6.0</v>
      </c>
      <c r="E83" s="1">
        <v>7.0</v>
      </c>
      <c r="F83" s="1">
        <v>67000.0</v>
      </c>
    </row>
    <row r="84">
      <c r="A84" s="1" t="s">
        <v>249</v>
      </c>
      <c r="B84" s="1" t="s">
        <v>250</v>
      </c>
      <c r="C84" s="15">
        <f>+36706018056</f>
        <v>36706018056</v>
      </c>
      <c r="D84" s="1">
        <v>7.0</v>
      </c>
      <c r="E84" s="1">
        <v>7.0</v>
      </c>
      <c r="F84" s="1">
        <v>60700.0</v>
      </c>
    </row>
    <row r="85">
      <c r="A85" s="1" t="s">
        <v>251</v>
      </c>
      <c r="B85" s="1" t="s">
        <v>252</v>
      </c>
      <c r="C85" s="15">
        <f>+36203835802</f>
        <v>36203835802</v>
      </c>
      <c r="D85" s="1">
        <v>7.0</v>
      </c>
      <c r="E85" s="1">
        <v>7.0</v>
      </c>
      <c r="F85" s="1">
        <v>62200.0</v>
      </c>
    </row>
    <row r="86">
      <c r="A86" s="1" t="s">
        <v>253</v>
      </c>
      <c r="B86" s="1" t="s">
        <v>254</v>
      </c>
      <c r="C86" s="15">
        <f>+36308651961</f>
        <v>36308651961</v>
      </c>
      <c r="D86" s="1">
        <v>3.0</v>
      </c>
      <c r="E86" s="1">
        <v>7.0</v>
      </c>
      <c r="F86" s="1">
        <v>96600.0</v>
      </c>
    </row>
    <row r="87">
      <c r="A87" s="1" t="s">
        <v>255</v>
      </c>
      <c r="B87" s="1" t="s">
        <v>256</v>
      </c>
      <c r="C87" s="15">
        <f>+36209661297</f>
        <v>36209661297</v>
      </c>
      <c r="D87" s="1">
        <v>5.0</v>
      </c>
      <c r="E87" s="1">
        <v>7.0</v>
      </c>
      <c r="F87" s="1">
        <v>57200.0</v>
      </c>
    </row>
    <row r="88">
      <c r="A88" s="1" t="s">
        <v>257</v>
      </c>
      <c r="B88" s="1" t="s">
        <v>258</v>
      </c>
      <c r="C88" s="15">
        <f>+36707745460</f>
        <v>36707745460</v>
      </c>
      <c r="D88" s="1">
        <v>5.0</v>
      </c>
      <c r="E88" s="1">
        <v>7.0</v>
      </c>
      <c r="F88" s="1">
        <v>62500.0</v>
      </c>
    </row>
    <row r="89">
      <c r="A89" s="1" t="s">
        <v>259</v>
      </c>
      <c r="B89" s="1" t="s">
        <v>260</v>
      </c>
      <c r="C89" s="15">
        <f>+36304746530</f>
        <v>36304746530</v>
      </c>
      <c r="D89" s="1">
        <v>6.0</v>
      </c>
      <c r="E89" s="1">
        <v>7.0</v>
      </c>
      <c r="F89" s="1">
        <v>65200.0</v>
      </c>
    </row>
    <row r="90">
      <c r="A90" s="1" t="s">
        <v>261</v>
      </c>
      <c r="B90" s="1" t="s">
        <v>262</v>
      </c>
      <c r="C90" s="15">
        <f>+36309357136</f>
        <v>36309357136</v>
      </c>
      <c r="D90" s="1">
        <v>9.0</v>
      </c>
      <c r="E90" s="1">
        <v>7.0</v>
      </c>
      <c r="F90" s="1">
        <v>90000.0</v>
      </c>
    </row>
    <row r="91">
      <c r="A91" s="1" t="s">
        <v>263</v>
      </c>
      <c r="B91" s="1" t="s">
        <v>264</v>
      </c>
      <c r="C91" s="15">
        <f>+36301744303</f>
        <v>36301744303</v>
      </c>
      <c r="D91" s="1">
        <v>4.0</v>
      </c>
      <c r="E91" s="1">
        <v>7.0</v>
      </c>
      <c r="F91" s="1">
        <v>69900.0</v>
      </c>
    </row>
    <row r="92">
      <c r="A92" s="1" t="s">
        <v>265</v>
      </c>
      <c r="B92" s="1" t="s">
        <v>266</v>
      </c>
      <c r="C92" s="15">
        <f>+36305113637</f>
        <v>36305113637</v>
      </c>
      <c r="D92" s="1">
        <v>7.0</v>
      </c>
      <c r="E92" s="1">
        <v>7.0</v>
      </c>
      <c r="F92" s="1">
        <v>90500.0</v>
      </c>
    </row>
    <row r="93">
      <c r="A93" s="1" t="s">
        <v>267</v>
      </c>
      <c r="B93" s="1" t="s">
        <v>268</v>
      </c>
      <c r="C93" s="15">
        <f>+36203149007</f>
        <v>36203149007</v>
      </c>
      <c r="D93" s="1">
        <v>5.0</v>
      </c>
      <c r="E93" s="1">
        <v>7.0</v>
      </c>
      <c r="F93" s="1">
        <v>65200.0</v>
      </c>
    </row>
    <row r="94">
      <c r="A94" s="1" t="s">
        <v>269</v>
      </c>
      <c r="B94" s="1" t="s">
        <v>270</v>
      </c>
      <c r="C94" s="15">
        <f>+36302537791</f>
        <v>36302537791</v>
      </c>
      <c r="D94" s="1">
        <v>5.0</v>
      </c>
      <c r="E94" s="1">
        <v>7.0</v>
      </c>
      <c r="F94" s="1">
        <v>55400.0</v>
      </c>
    </row>
    <row r="95">
      <c r="A95" s="1" t="s">
        <v>271</v>
      </c>
      <c r="B95" s="1" t="s">
        <v>272</v>
      </c>
      <c r="C95" s="15">
        <f>+36301956611</f>
        <v>36301956611</v>
      </c>
      <c r="D95" s="1">
        <v>4.0</v>
      </c>
      <c r="E95" s="1">
        <v>7.0</v>
      </c>
      <c r="F95" s="1">
        <v>100500.0</v>
      </c>
    </row>
    <row r="96">
      <c r="A96" s="1" t="s">
        <v>273</v>
      </c>
      <c r="B96" s="1" t="s">
        <v>274</v>
      </c>
      <c r="C96" s="15">
        <f>+36305248802</f>
        <v>36305248802</v>
      </c>
      <c r="D96" s="1">
        <v>12.0</v>
      </c>
      <c r="E96" s="1">
        <v>7.0</v>
      </c>
      <c r="F96" s="1">
        <v>177900.0</v>
      </c>
    </row>
    <row r="97">
      <c r="A97" s="1" t="s">
        <v>275</v>
      </c>
      <c r="B97" s="1" t="s">
        <v>276</v>
      </c>
      <c r="C97" s="15">
        <f>+36304225574</f>
        <v>36304225574</v>
      </c>
      <c r="D97" s="1">
        <v>7.0</v>
      </c>
      <c r="E97" s="1">
        <v>7.0</v>
      </c>
      <c r="F97" s="1">
        <v>105200.0</v>
      </c>
    </row>
    <row r="98">
      <c r="A98" s="1" t="s">
        <v>277</v>
      </c>
      <c r="B98" s="1" t="s">
        <v>278</v>
      </c>
      <c r="C98" s="15">
        <f>+36703138385</f>
        <v>36703138385</v>
      </c>
      <c r="D98" s="1">
        <v>8.0</v>
      </c>
      <c r="E98" s="1">
        <v>7.0</v>
      </c>
      <c r="F98" s="1">
        <v>133100.0</v>
      </c>
    </row>
    <row r="99">
      <c r="A99" s="1" t="s">
        <v>279</v>
      </c>
      <c r="B99" s="1" t="s">
        <v>280</v>
      </c>
      <c r="C99" s="15">
        <f>+36708505578</f>
        <v>36708505578</v>
      </c>
      <c r="D99" s="1">
        <v>7.0</v>
      </c>
      <c r="E99" s="1">
        <v>7.0</v>
      </c>
      <c r="F99" s="1">
        <v>96700.0</v>
      </c>
    </row>
    <row r="100">
      <c r="A100" s="1" t="s">
        <v>281</v>
      </c>
      <c r="B100" s="1" t="s">
        <v>282</v>
      </c>
      <c r="C100" s="15">
        <f>+36305351430</f>
        <v>36305351430</v>
      </c>
      <c r="D100" s="1">
        <v>5.0</v>
      </c>
      <c r="E100" s="1">
        <v>7.0</v>
      </c>
      <c r="F100" s="1">
        <v>73300.0</v>
      </c>
    </row>
    <row r="101">
      <c r="A101" s="1" t="s">
        <v>283</v>
      </c>
      <c r="B101" s="1" t="s">
        <v>284</v>
      </c>
      <c r="C101" s="15">
        <f>+36709413715</f>
        <v>36709413715</v>
      </c>
      <c r="D101" s="1">
        <v>5.0</v>
      </c>
      <c r="E101" s="1">
        <v>7.0</v>
      </c>
      <c r="F101" s="1">
        <v>92400.0</v>
      </c>
    </row>
    <row r="102">
      <c r="A102" s="1" t="s">
        <v>285</v>
      </c>
      <c r="B102" s="1" t="s">
        <v>286</v>
      </c>
      <c r="C102" s="15">
        <f>+36706300217</f>
        <v>36706300217</v>
      </c>
      <c r="D102" s="1">
        <v>6.0</v>
      </c>
      <c r="E102" s="1">
        <v>7.0</v>
      </c>
      <c r="F102" s="1">
        <v>51700.0</v>
      </c>
    </row>
    <row r="103">
      <c r="A103" s="1" t="s">
        <v>287</v>
      </c>
      <c r="B103" s="1" t="s">
        <v>288</v>
      </c>
      <c r="C103" s="15">
        <f>+36307005215</f>
        <v>36307005215</v>
      </c>
      <c r="D103" s="1">
        <v>7.0</v>
      </c>
      <c r="E103" s="1">
        <v>7.0</v>
      </c>
      <c r="F103" s="1">
        <v>64000.0</v>
      </c>
    </row>
    <row r="104">
      <c r="A104" s="1" t="s">
        <v>289</v>
      </c>
      <c r="B104" s="1" t="s">
        <v>290</v>
      </c>
      <c r="C104" s="15">
        <f>+36203951733</f>
        <v>36203951733</v>
      </c>
      <c r="D104" s="1">
        <v>9.0</v>
      </c>
      <c r="E104" s="1">
        <v>7.0</v>
      </c>
      <c r="F104" s="1">
        <v>90700.0</v>
      </c>
    </row>
    <row r="105">
      <c r="A105" s="1" t="s">
        <v>291</v>
      </c>
      <c r="B105" s="1" t="s">
        <v>292</v>
      </c>
      <c r="C105" s="15">
        <f>+40745158525</f>
        <v>40745158525</v>
      </c>
      <c r="D105" s="1">
        <v>7.0</v>
      </c>
      <c r="E105" s="1">
        <v>7.0</v>
      </c>
      <c r="F105" s="1">
        <v>57800.0</v>
      </c>
    </row>
    <row r="106">
      <c r="A106" s="1" t="s">
        <v>293</v>
      </c>
      <c r="B106" s="1" t="s">
        <v>294</v>
      </c>
      <c r="C106" s="15">
        <f>+36309477991</f>
        <v>36309477991</v>
      </c>
      <c r="D106" s="1">
        <v>7.0</v>
      </c>
      <c r="E106" s="1">
        <v>7.0</v>
      </c>
      <c r="F106" s="1">
        <v>74600.0</v>
      </c>
    </row>
    <row r="107">
      <c r="A107" s="1" t="s">
        <v>295</v>
      </c>
      <c r="B107" s="1" t="s">
        <v>296</v>
      </c>
      <c r="C107" s="15">
        <f>+36209466421</f>
        <v>36209466421</v>
      </c>
      <c r="D107" s="1">
        <v>8.0</v>
      </c>
      <c r="E107" s="1">
        <v>7.0</v>
      </c>
      <c r="F107" s="1">
        <v>69200.0</v>
      </c>
    </row>
    <row r="108">
      <c r="A108" s="1" t="s">
        <v>297</v>
      </c>
      <c r="B108" s="1" t="s">
        <v>298</v>
      </c>
      <c r="C108" s="15">
        <f>+36308613014</f>
        <v>36308613014</v>
      </c>
      <c r="D108" s="1">
        <v>4.0</v>
      </c>
      <c r="E108" s="1">
        <v>7.0</v>
      </c>
      <c r="F108" s="1">
        <v>62300.0</v>
      </c>
    </row>
    <row r="109">
      <c r="A109" s="1" t="s">
        <v>299</v>
      </c>
      <c r="B109" s="1" t="s">
        <v>300</v>
      </c>
      <c r="C109" s="15">
        <f>+36706278633</f>
        <v>36706278633</v>
      </c>
      <c r="D109" s="1">
        <v>7.0</v>
      </c>
      <c r="E109" s="1">
        <v>6.0</v>
      </c>
      <c r="F109" s="1">
        <v>55300.0</v>
      </c>
    </row>
    <row r="110">
      <c r="A110" s="1" t="s">
        <v>301</v>
      </c>
      <c r="B110" s="1" t="s">
        <v>302</v>
      </c>
      <c r="C110" s="15">
        <f>+36703600642</f>
        <v>36703600642</v>
      </c>
      <c r="D110" s="1">
        <v>7.0</v>
      </c>
      <c r="E110" s="1">
        <v>6.0</v>
      </c>
      <c r="F110" s="1">
        <v>59000.0</v>
      </c>
    </row>
    <row r="111">
      <c r="A111" s="1" t="s">
        <v>303</v>
      </c>
      <c r="B111" s="1" t="s">
        <v>304</v>
      </c>
      <c r="C111" s="15">
        <f>+36308190055</f>
        <v>36308190055</v>
      </c>
      <c r="D111" s="1">
        <v>5.0</v>
      </c>
      <c r="E111" s="1">
        <v>6.0</v>
      </c>
      <c r="F111" s="1">
        <v>54700.0</v>
      </c>
    </row>
    <row r="112">
      <c r="A112" s="1" t="s">
        <v>305</v>
      </c>
      <c r="B112" s="1" t="s">
        <v>306</v>
      </c>
      <c r="C112" s="15">
        <f>+36706724215</f>
        <v>36706724215</v>
      </c>
      <c r="D112" s="1">
        <v>6.0</v>
      </c>
      <c r="E112" s="1">
        <v>6.0</v>
      </c>
      <c r="F112" s="1">
        <v>43200.0</v>
      </c>
    </row>
    <row r="113">
      <c r="A113" s="1" t="s">
        <v>307</v>
      </c>
      <c r="B113" s="1" t="s">
        <v>308</v>
      </c>
      <c r="C113" s="15">
        <f>+36703351157</f>
        <v>36703351157</v>
      </c>
      <c r="D113" s="1">
        <v>6.0</v>
      </c>
      <c r="E113" s="1">
        <v>6.0</v>
      </c>
      <c r="F113" s="1">
        <v>59100.0</v>
      </c>
    </row>
    <row r="114">
      <c r="A114" s="1" t="s">
        <v>309</v>
      </c>
      <c r="B114" s="1" t="s">
        <v>310</v>
      </c>
      <c r="C114" s="15">
        <f>+36204855814</f>
        <v>36204855814</v>
      </c>
      <c r="D114" s="1">
        <v>5.0</v>
      </c>
      <c r="E114" s="1">
        <v>6.0</v>
      </c>
      <c r="F114" s="1">
        <v>43600.0</v>
      </c>
    </row>
    <row r="115">
      <c r="A115" s="1" t="s">
        <v>311</v>
      </c>
      <c r="B115" s="1" t="s">
        <v>312</v>
      </c>
      <c r="C115" s="15">
        <f>+36302614199</f>
        <v>36302614199</v>
      </c>
      <c r="D115" s="1">
        <v>6.0</v>
      </c>
      <c r="E115" s="1">
        <v>6.0</v>
      </c>
      <c r="F115" s="1">
        <v>69900.0</v>
      </c>
    </row>
    <row r="116">
      <c r="A116" s="1" t="s">
        <v>313</v>
      </c>
      <c r="B116" s="1" t="s">
        <v>314</v>
      </c>
      <c r="C116" s="15">
        <f>+36302805502</f>
        <v>36302805502</v>
      </c>
      <c r="D116" s="1">
        <v>8.0</v>
      </c>
      <c r="E116" s="1">
        <v>6.0</v>
      </c>
      <c r="F116" s="1">
        <v>78800.0</v>
      </c>
    </row>
    <row r="117">
      <c r="A117" s="1" t="s">
        <v>315</v>
      </c>
      <c r="B117" s="1" t="s">
        <v>316</v>
      </c>
      <c r="C117" s="15">
        <f>+36302990250</f>
        <v>36302990250</v>
      </c>
      <c r="D117" s="1">
        <v>4.0</v>
      </c>
      <c r="E117" s="1">
        <v>6.0</v>
      </c>
      <c r="F117" s="1">
        <v>49800.0</v>
      </c>
    </row>
    <row r="118">
      <c r="A118" s="1" t="s">
        <v>317</v>
      </c>
      <c r="B118" s="1" t="s">
        <v>318</v>
      </c>
      <c r="C118" s="15">
        <f>+36209627770</f>
        <v>36209627770</v>
      </c>
      <c r="D118" s="1">
        <v>4.0</v>
      </c>
      <c r="E118" s="1">
        <v>6.0</v>
      </c>
      <c r="F118" s="1">
        <v>60700.0</v>
      </c>
    </row>
    <row r="119">
      <c r="A119" s="1" t="s">
        <v>319</v>
      </c>
      <c r="B119" s="1" t="s">
        <v>320</v>
      </c>
      <c r="C119" s="15">
        <f>+36203893387</f>
        <v>36203893387</v>
      </c>
      <c r="D119" s="1">
        <v>7.0</v>
      </c>
      <c r="E119" s="1">
        <v>6.0</v>
      </c>
      <c r="F119" s="1">
        <v>78700.0</v>
      </c>
    </row>
    <row r="120">
      <c r="A120" s="1" t="s">
        <v>321</v>
      </c>
      <c r="B120" s="1" t="s">
        <v>322</v>
      </c>
      <c r="C120" s="15">
        <f>+36708810902</f>
        <v>36708810902</v>
      </c>
      <c r="D120" s="1">
        <v>5.0</v>
      </c>
      <c r="E120" s="1">
        <v>6.0</v>
      </c>
      <c r="F120" s="1">
        <v>59500.0</v>
      </c>
    </row>
    <row r="121">
      <c r="A121" s="1" t="s">
        <v>323</v>
      </c>
      <c r="B121" s="1" t="s">
        <v>324</v>
      </c>
      <c r="C121" s="15">
        <f>+36308324733</f>
        <v>36308324733</v>
      </c>
      <c r="D121" s="1">
        <v>5.0</v>
      </c>
      <c r="E121" s="1">
        <v>6.0</v>
      </c>
      <c r="F121" s="1">
        <v>41900.0</v>
      </c>
    </row>
    <row r="122">
      <c r="A122" s="1" t="s">
        <v>325</v>
      </c>
      <c r="B122" s="1" t="s">
        <v>326</v>
      </c>
      <c r="C122" s="15">
        <f>+36306229364</f>
        <v>36306229364</v>
      </c>
      <c r="D122" s="1">
        <v>5.0</v>
      </c>
      <c r="E122" s="1">
        <v>6.0</v>
      </c>
      <c r="F122" s="1">
        <v>55000.0</v>
      </c>
    </row>
    <row r="123">
      <c r="A123" s="1" t="s">
        <v>327</v>
      </c>
      <c r="B123" s="1" t="s">
        <v>328</v>
      </c>
      <c r="C123" s="15">
        <f>+36209748336</f>
        <v>36209748336</v>
      </c>
      <c r="D123" s="1">
        <v>13.0</v>
      </c>
      <c r="E123" s="1">
        <v>6.0</v>
      </c>
      <c r="F123" s="1">
        <v>18000.0</v>
      </c>
    </row>
    <row r="124">
      <c r="A124" s="1" t="s">
        <v>329</v>
      </c>
      <c r="B124" s="1" t="s">
        <v>330</v>
      </c>
      <c r="C124" s="15">
        <f>+36306197541</f>
        <v>36306197541</v>
      </c>
      <c r="D124" s="1">
        <v>5.0</v>
      </c>
      <c r="E124" s="1">
        <v>6.0</v>
      </c>
      <c r="F124" s="1">
        <v>72700.0</v>
      </c>
    </row>
    <row r="125">
      <c r="A125" s="1" t="s">
        <v>331</v>
      </c>
      <c r="B125" s="1" t="s">
        <v>332</v>
      </c>
      <c r="C125" s="15">
        <f>+36703112670</f>
        <v>36703112670</v>
      </c>
      <c r="D125" s="1">
        <v>5.0</v>
      </c>
      <c r="E125" s="1">
        <v>6.0</v>
      </c>
      <c r="F125" s="1">
        <v>41900.0</v>
      </c>
    </row>
    <row r="126">
      <c r="A126" s="1" t="s">
        <v>333</v>
      </c>
      <c r="B126" s="1" t="s">
        <v>334</v>
      </c>
      <c r="C126" s="15">
        <f>+36703891150</f>
        <v>36703891150</v>
      </c>
      <c r="D126" s="1">
        <v>5.0</v>
      </c>
      <c r="E126" s="1">
        <v>6.0</v>
      </c>
      <c r="F126" s="1">
        <v>59900.0</v>
      </c>
    </row>
    <row r="127">
      <c r="A127" s="1" t="s">
        <v>335</v>
      </c>
      <c r="B127" s="1" t="s">
        <v>336</v>
      </c>
      <c r="C127" s="15">
        <f>+36305372223</f>
        <v>36305372223</v>
      </c>
      <c r="D127" s="1">
        <v>4.0</v>
      </c>
      <c r="E127" s="1">
        <v>6.0</v>
      </c>
      <c r="F127" s="1">
        <v>73800.0</v>
      </c>
    </row>
    <row r="128">
      <c r="A128" s="1" t="s">
        <v>337</v>
      </c>
      <c r="B128" s="1" t="s">
        <v>338</v>
      </c>
      <c r="C128" s="15">
        <f>+36304008235</f>
        <v>36304008235</v>
      </c>
      <c r="D128" s="1">
        <v>5.0</v>
      </c>
      <c r="E128" s="1">
        <v>6.0</v>
      </c>
      <c r="F128" s="1">
        <v>74400.0</v>
      </c>
    </row>
    <row r="129">
      <c r="A129" s="1" t="s">
        <v>339</v>
      </c>
      <c r="B129" s="1" t="s">
        <v>340</v>
      </c>
      <c r="C129" s="15">
        <f>+36209248599</f>
        <v>36209248599</v>
      </c>
      <c r="D129" s="1">
        <v>6.0</v>
      </c>
      <c r="E129" s="1">
        <v>6.0</v>
      </c>
      <c r="F129" s="1">
        <v>65100.0</v>
      </c>
    </row>
    <row r="130">
      <c r="A130" s="1" t="s">
        <v>341</v>
      </c>
      <c r="B130" s="1" t="s">
        <v>342</v>
      </c>
      <c r="C130" s="15">
        <f>+36202685471</f>
        <v>36202685471</v>
      </c>
      <c r="D130" s="1">
        <v>5.0</v>
      </c>
      <c r="E130" s="1">
        <v>6.0</v>
      </c>
      <c r="F130" s="1">
        <v>47500.0</v>
      </c>
    </row>
    <row r="131">
      <c r="A131" s="1" t="s">
        <v>343</v>
      </c>
      <c r="B131" s="1" t="s">
        <v>344</v>
      </c>
      <c r="C131" s="15">
        <f>+36302250976</f>
        <v>36302250976</v>
      </c>
      <c r="D131" s="1">
        <v>4.0</v>
      </c>
      <c r="E131" s="1">
        <v>6.0</v>
      </c>
      <c r="F131" s="1">
        <v>56000.0</v>
      </c>
    </row>
    <row r="132">
      <c r="A132" s="1" t="s">
        <v>345</v>
      </c>
      <c r="B132" s="1" t="s">
        <v>346</v>
      </c>
      <c r="C132" s="15">
        <f>+36205405818</f>
        <v>36205405818</v>
      </c>
      <c r="D132" s="1">
        <v>7.0</v>
      </c>
      <c r="E132" s="1">
        <v>6.0</v>
      </c>
      <c r="F132" s="1">
        <v>63900.0</v>
      </c>
    </row>
    <row r="133">
      <c r="A133" s="1" t="s">
        <v>347</v>
      </c>
      <c r="B133" s="1" t="s">
        <v>348</v>
      </c>
      <c r="C133" s="15">
        <f>+36706072292</f>
        <v>36706072292</v>
      </c>
      <c r="D133" s="1">
        <v>3.0</v>
      </c>
      <c r="E133" s="1">
        <v>6.0</v>
      </c>
      <c r="F133" s="1">
        <v>46200.0</v>
      </c>
    </row>
    <row r="134">
      <c r="A134" s="1" t="s">
        <v>349</v>
      </c>
      <c r="B134" s="1" t="s">
        <v>350</v>
      </c>
      <c r="C134" s="15">
        <f>+36205596824</f>
        <v>36205596824</v>
      </c>
      <c r="D134" s="1">
        <v>4.0</v>
      </c>
      <c r="E134" s="1">
        <v>6.0</v>
      </c>
      <c r="F134" s="1">
        <v>55500.0</v>
      </c>
    </row>
    <row r="135">
      <c r="A135" s="1" t="s">
        <v>351</v>
      </c>
      <c r="B135" s="1" t="s">
        <v>352</v>
      </c>
      <c r="C135" s="15">
        <f>+36301856696</f>
        <v>36301856696</v>
      </c>
      <c r="D135" s="1">
        <v>4.0</v>
      </c>
      <c r="E135" s="1">
        <v>6.0</v>
      </c>
      <c r="F135" s="1">
        <v>47200.0</v>
      </c>
    </row>
    <row r="136">
      <c r="A136" s="1" t="s">
        <v>353</v>
      </c>
      <c r="B136" s="1" t="s">
        <v>354</v>
      </c>
      <c r="C136" s="15">
        <f>+36307998966</f>
        <v>36307998966</v>
      </c>
      <c r="D136" s="1">
        <v>7.0</v>
      </c>
      <c r="E136" s="1">
        <v>6.0</v>
      </c>
      <c r="F136" s="1">
        <v>54100.0</v>
      </c>
    </row>
    <row r="137">
      <c r="A137" s="1" t="s">
        <v>355</v>
      </c>
      <c r="B137" s="1" t="s">
        <v>356</v>
      </c>
      <c r="C137" s="15">
        <f>+36202506564</f>
        <v>36202506564</v>
      </c>
      <c r="D137" s="1">
        <v>4.0</v>
      </c>
      <c r="E137" s="1">
        <v>6.0</v>
      </c>
      <c r="F137" s="1">
        <v>42900.0</v>
      </c>
    </row>
    <row r="138">
      <c r="A138" s="1" t="s">
        <v>357</v>
      </c>
      <c r="B138" s="1" t="s">
        <v>358</v>
      </c>
      <c r="C138" s="15">
        <f>+36209409490</f>
        <v>36209409490</v>
      </c>
      <c r="D138" s="1">
        <v>3.0</v>
      </c>
      <c r="E138" s="1">
        <v>6.0</v>
      </c>
      <c r="F138" s="1">
        <v>65700.0</v>
      </c>
    </row>
    <row r="139">
      <c r="A139" s="1" t="s">
        <v>359</v>
      </c>
      <c r="B139" s="1" t="s">
        <v>360</v>
      </c>
      <c r="C139" s="15">
        <f>+36309382991</f>
        <v>36309382991</v>
      </c>
      <c r="D139" s="1">
        <v>6.0</v>
      </c>
      <c r="E139" s="1">
        <v>6.0</v>
      </c>
      <c r="F139" s="1">
        <v>51500.0</v>
      </c>
    </row>
    <row r="140">
      <c r="A140" s="1" t="s">
        <v>361</v>
      </c>
      <c r="B140" s="1" t="s">
        <v>362</v>
      </c>
      <c r="C140" s="15">
        <f>+36706288252</f>
        <v>36706288252</v>
      </c>
      <c r="D140" s="1">
        <v>6.0</v>
      </c>
      <c r="E140" s="1">
        <v>6.0</v>
      </c>
      <c r="F140" s="1">
        <v>58900.0</v>
      </c>
    </row>
    <row r="141">
      <c r="A141" s="1" t="s">
        <v>363</v>
      </c>
      <c r="B141" s="1" t="s">
        <v>364</v>
      </c>
      <c r="C141" s="15">
        <f>+36309564993</f>
        <v>36309564993</v>
      </c>
      <c r="D141" s="1">
        <v>3.0</v>
      </c>
      <c r="E141" s="1">
        <v>6.0</v>
      </c>
      <c r="F141" s="1">
        <v>72900.0</v>
      </c>
    </row>
    <row r="142">
      <c r="A142" s="1" t="s">
        <v>365</v>
      </c>
      <c r="B142" s="1" t="s">
        <v>366</v>
      </c>
      <c r="C142" s="15">
        <f>+491742401136</f>
        <v>491742401136</v>
      </c>
      <c r="D142" s="1">
        <v>7.0</v>
      </c>
      <c r="E142" s="1">
        <v>6.0</v>
      </c>
      <c r="F142" s="1">
        <v>79500.0</v>
      </c>
    </row>
    <row r="143">
      <c r="A143" s="1" t="s">
        <v>367</v>
      </c>
      <c r="B143" s="1" t="s">
        <v>368</v>
      </c>
      <c r="C143" s="15">
        <f>+36205555466</f>
        <v>36205555466</v>
      </c>
      <c r="D143" s="1">
        <v>6.0</v>
      </c>
      <c r="E143" s="1">
        <v>6.0</v>
      </c>
      <c r="F143" s="1">
        <v>50100.0</v>
      </c>
    </row>
    <row r="144">
      <c r="A144" s="1" t="s">
        <v>369</v>
      </c>
      <c r="B144" s="1" t="s">
        <v>370</v>
      </c>
      <c r="C144" s="15">
        <f>+36307899441</f>
        <v>36307899441</v>
      </c>
      <c r="D144" s="1">
        <v>7.0</v>
      </c>
      <c r="E144" s="1">
        <v>6.0</v>
      </c>
      <c r="F144" s="1">
        <v>41100.0</v>
      </c>
    </row>
    <row r="145">
      <c r="A145" s="1" t="s">
        <v>371</v>
      </c>
      <c r="B145" s="1" t="s">
        <v>372</v>
      </c>
      <c r="C145" s="15">
        <f>+36704339390</f>
        <v>36704339390</v>
      </c>
      <c r="D145" s="1">
        <v>5.0</v>
      </c>
      <c r="E145" s="1">
        <v>6.0</v>
      </c>
      <c r="F145" s="1">
        <v>79500.0</v>
      </c>
    </row>
    <row r="146">
      <c r="A146" s="1" t="s">
        <v>373</v>
      </c>
      <c r="B146" s="1" t="s">
        <v>374</v>
      </c>
      <c r="C146" s="15">
        <f>+36301538474</f>
        <v>36301538474</v>
      </c>
      <c r="D146" s="1">
        <v>5.0</v>
      </c>
      <c r="E146" s="1">
        <v>6.0</v>
      </c>
      <c r="F146" s="1">
        <v>61400.0</v>
      </c>
    </row>
    <row r="147">
      <c r="A147" s="1" t="s">
        <v>375</v>
      </c>
      <c r="B147" s="1" t="s">
        <v>376</v>
      </c>
      <c r="C147" s="15">
        <f>+36709057705</f>
        <v>36709057705</v>
      </c>
      <c r="D147" s="1">
        <v>6.0</v>
      </c>
      <c r="E147" s="1">
        <v>6.0</v>
      </c>
      <c r="F147" s="1">
        <v>66900.0</v>
      </c>
    </row>
    <row r="148">
      <c r="A148" s="1" t="s">
        <v>377</v>
      </c>
      <c r="B148" s="1" t="s">
        <v>378</v>
      </c>
      <c r="C148" s="15">
        <f>+36302255882</f>
        <v>36302255882</v>
      </c>
      <c r="D148" s="1">
        <v>6.0</v>
      </c>
      <c r="E148" s="1">
        <v>6.0</v>
      </c>
      <c r="F148" s="1">
        <v>66000.0</v>
      </c>
    </row>
    <row r="149">
      <c r="A149" s="1" t="s">
        <v>379</v>
      </c>
      <c r="B149" s="1" t="s">
        <v>380</v>
      </c>
      <c r="C149" s="15">
        <f>+36302950669</f>
        <v>36302950669</v>
      </c>
      <c r="D149" s="1">
        <v>4.0</v>
      </c>
      <c r="E149" s="1">
        <v>6.0</v>
      </c>
      <c r="F149" s="1">
        <v>47000.0</v>
      </c>
    </row>
    <row r="150">
      <c r="A150" s="1" t="s">
        <v>381</v>
      </c>
      <c r="B150" s="1" t="s">
        <v>382</v>
      </c>
      <c r="C150" s="15">
        <f>+36706330400</f>
        <v>36706330400</v>
      </c>
      <c r="D150" s="1">
        <v>6.0</v>
      </c>
      <c r="E150" s="1">
        <v>6.0</v>
      </c>
      <c r="F150" s="1">
        <v>65500.0</v>
      </c>
    </row>
    <row r="151">
      <c r="A151" s="1" t="s">
        <v>383</v>
      </c>
      <c r="B151" s="1" t="s">
        <v>384</v>
      </c>
      <c r="C151" s="15">
        <f>+36302983788</f>
        <v>36302983788</v>
      </c>
      <c r="D151" s="1">
        <v>5.0</v>
      </c>
      <c r="E151" s="1">
        <v>6.0</v>
      </c>
      <c r="F151" s="1">
        <v>49400.0</v>
      </c>
    </row>
    <row r="152">
      <c r="A152" s="1" t="s">
        <v>385</v>
      </c>
      <c r="B152" s="1" t="s">
        <v>386</v>
      </c>
      <c r="C152" s="15">
        <f>+36306890078</f>
        <v>36306890078</v>
      </c>
      <c r="D152" s="1">
        <v>7.0</v>
      </c>
      <c r="E152" s="1">
        <v>6.0</v>
      </c>
      <c r="F152" s="1">
        <v>93000.0</v>
      </c>
    </row>
    <row r="153">
      <c r="A153" s="1" t="s">
        <v>387</v>
      </c>
      <c r="B153" s="1" t="s">
        <v>388</v>
      </c>
      <c r="C153" s="15">
        <f>+36703653354</f>
        <v>36703653354</v>
      </c>
      <c r="D153" s="1">
        <v>4.0</v>
      </c>
      <c r="E153" s="1">
        <v>6.0</v>
      </c>
      <c r="F153" s="1">
        <v>48600.0</v>
      </c>
    </row>
    <row r="154">
      <c r="A154" s="1" t="s">
        <v>389</v>
      </c>
      <c r="B154" s="1" t="s">
        <v>390</v>
      </c>
      <c r="C154" s="15">
        <f>+36302918982</f>
        <v>36302918982</v>
      </c>
      <c r="D154" s="1">
        <v>4.0</v>
      </c>
      <c r="E154" s="1">
        <v>6.0</v>
      </c>
      <c r="F154" s="1">
        <v>96700.0</v>
      </c>
    </row>
    <row r="155">
      <c r="A155" s="1" t="s">
        <v>391</v>
      </c>
      <c r="B155" s="1" t="s">
        <v>392</v>
      </c>
      <c r="C155" s="15">
        <f>+36205121152</f>
        <v>36205121152</v>
      </c>
      <c r="D155" s="1">
        <v>5.0</v>
      </c>
      <c r="E155" s="1">
        <v>6.0</v>
      </c>
      <c r="F155" s="1">
        <v>45200.0</v>
      </c>
    </row>
    <row r="156">
      <c r="A156" s="1" t="s">
        <v>393</v>
      </c>
      <c r="B156" s="1" t="s">
        <v>394</v>
      </c>
      <c r="C156" s="15">
        <f>+36307095535</f>
        <v>36307095535</v>
      </c>
      <c r="D156" s="1">
        <v>5.0</v>
      </c>
      <c r="E156" s="1">
        <v>6.0</v>
      </c>
      <c r="F156" s="1">
        <v>63700.0</v>
      </c>
    </row>
    <row r="157">
      <c r="A157" s="1" t="s">
        <v>395</v>
      </c>
      <c r="B157" s="1" t="s">
        <v>396</v>
      </c>
      <c r="C157" s="15">
        <f>+36205853973</f>
        <v>36205853973</v>
      </c>
      <c r="D157" s="1">
        <v>5.0</v>
      </c>
      <c r="E157" s="1">
        <v>6.0</v>
      </c>
      <c r="F157" s="1">
        <v>95300.0</v>
      </c>
    </row>
    <row r="158">
      <c r="A158" s="1" t="s">
        <v>397</v>
      </c>
      <c r="B158" s="1" t="s">
        <v>398</v>
      </c>
      <c r="C158" s="15">
        <f>+36203638409</f>
        <v>36203638409</v>
      </c>
      <c r="D158" s="1">
        <v>4.0</v>
      </c>
      <c r="E158" s="1">
        <v>6.0</v>
      </c>
      <c r="F158" s="1">
        <v>76050.0</v>
      </c>
    </row>
    <row r="159">
      <c r="A159" s="1" t="s">
        <v>399</v>
      </c>
      <c r="B159" s="1" t="s">
        <v>400</v>
      </c>
      <c r="C159" s="15">
        <f>+36209771605</f>
        <v>36209771605</v>
      </c>
      <c r="D159" s="1">
        <v>5.0</v>
      </c>
      <c r="E159" s="1">
        <v>6.0</v>
      </c>
      <c r="F159" s="1">
        <v>75800.0</v>
      </c>
    </row>
    <row r="160">
      <c r="A160" s="1" t="s">
        <v>401</v>
      </c>
      <c r="B160" s="1" t="s">
        <v>402</v>
      </c>
      <c r="C160" s="15">
        <f>+36706264264</f>
        <v>36706264264</v>
      </c>
      <c r="D160" s="1">
        <v>5.0</v>
      </c>
      <c r="E160" s="1">
        <v>6.0</v>
      </c>
      <c r="F160" s="1">
        <v>48100.0</v>
      </c>
    </row>
    <row r="161">
      <c r="A161" s="1" t="s">
        <v>403</v>
      </c>
      <c r="B161" s="1" t="s">
        <v>404</v>
      </c>
      <c r="C161" s="15">
        <f>+36208249429</f>
        <v>36208249429</v>
      </c>
      <c r="D161" s="1">
        <v>7.0</v>
      </c>
      <c r="E161" s="1">
        <v>6.0</v>
      </c>
      <c r="F161" s="1">
        <v>62900.0</v>
      </c>
    </row>
    <row r="162">
      <c r="A162" s="1" t="s">
        <v>405</v>
      </c>
      <c r="B162" s="1" t="s">
        <v>406</v>
      </c>
      <c r="C162" s="15">
        <f>+36308360993</f>
        <v>36308360993</v>
      </c>
      <c r="D162" s="1">
        <v>8.0</v>
      </c>
      <c r="E162" s="1">
        <v>6.0</v>
      </c>
      <c r="F162" s="1">
        <v>60300.0</v>
      </c>
    </row>
    <row r="163">
      <c r="A163" s="1" t="s">
        <v>407</v>
      </c>
      <c r="B163" s="1" t="s">
        <v>408</v>
      </c>
      <c r="C163" s="15">
        <f>+36203443958</f>
        <v>36203443958</v>
      </c>
      <c r="D163" s="1">
        <v>4.0</v>
      </c>
      <c r="E163" s="1">
        <v>6.0</v>
      </c>
      <c r="F163" s="1">
        <v>74400.0</v>
      </c>
    </row>
    <row r="164">
      <c r="A164" s="1" t="s">
        <v>409</v>
      </c>
      <c r="B164" s="1" t="s">
        <v>410</v>
      </c>
      <c r="C164" s="15">
        <f>+36206628110</f>
        <v>36206628110</v>
      </c>
      <c r="D164" s="1">
        <v>6.0</v>
      </c>
      <c r="E164" s="1">
        <v>6.0</v>
      </c>
      <c r="F164" s="1">
        <v>55400.0</v>
      </c>
    </row>
    <row r="165">
      <c r="A165" s="1" t="s">
        <v>411</v>
      </c>
      <c r="B165" s="1" t="s">
        <v>412</v>
      </c>
      <c r="C165" s="15">
        <f>+36307253932</f>
        <v>36307253932</v>
      </c>
      <c r="D165" s="1">
        <v>6.0</v>
      </c>
      <c r="E165" s="1">
        <v>6.0</v>
      </c>
      <c r="F165" s="1">
        <v>67900.0</v>
      </c>
    </row>
    <row r="166">
      <c r="A166" s="1" t="s">
        <v>413</v>
      </c>
      <c r="B166" s="1" t="s">
        <v>414</v>
      </c>
      <c r="C166" s="15">
        <f>+36203767750</f>
        <v>36203767750</v>
      </c>
      <c r="D166" s="1">
        <v>4.0</v>
      </c>
      <c r="E166" s="1">
        <v>6.0</v>
      </c>
      <c r="F166" s="1">
        <v>57700.0</v>
      </c>
    </row>
    <row r="167">
      <c r="A167" s="1" t="s">
        <v>415</v>
      </c>
      <c r="B167" s="1" t="s">
        <v>416</v>
      </c>
      <c r="C167" s="15">
        <f>+36209660363</f>
        <v>36209660363</v>
      </c>
      <c r="D167" s="1">
        <v>5.0</v>
      </c>
      <c r="E167" s="1">
        <v>6.0</v>
      </c>
      <c r="F167" s="1">
        <v>64000.0</v>
      </c>
    </row>
    <row r="168">
      <c r="A168" s="1" t="s">
        <v>417</v>
      </c>
      <c r="B168" s="1" t="s">
        <v>418</v>
      </c>
      <c r="C168" s="15">
        <f>+36309373711</f>
        <v>36309373711</v>
      </c>
      <c r="D168" s="1">
        <v>4.0</v>
      </c>
      <c r="E168" s="1">
        <v>6.0</v>
      </c>
      <c r="F168" s="1">
        <v>68700.0</v>
      </c>
    </row>
    <row r="169">
      <c r="A169" s="1" t="s">
        <v>419</v>
      </c>
      <c r="B169" s="1" t="s">
        <v>420</v>
      </c>
      <c r="C169" s="15">
        <f>+36306521162</f>
        <v>36306521162</v>
      </c>
      <c r="D169" s="1">
        <v>7.0</v>
      </c>
      <c r="E169" s="1">
        <v>6.0</v>
      </c>
      <c r="F169" s="1">
        <v>40600.0</v>
      </c>
    </row>
    <row r="170">
      <c r="A170" s="1" t="s">
        <v>421</v>
      </c>
      <c r="B170" s="1" t="s">
        <v>422</v>
      </c>
      <c r="C170" s="15">
        <f>+36306341769</f>
        <v>36306341769</v>
      </c>
      <c r="D170" s="1">
        <v>7.0</v>
      </c>
      <c r="E170" s="1">
        <v>6.0</v>
      </c>
      <c r="F170" s="1">
        <v>49500.0</v>
      </c>
    </row>
    <row r="171">
      <c r="A171" s="1" t="s">
        <v>423</v>
      </c>
      <c r="B171" s="1" t="s">
        <v>424</v>
      </c>
      <c r="C171" s="15">
        <f>+36209377122</f>
        <v>36209377122</v>
      </c>
      <c r="D171" s="1">
        <v>5.0</v>
      </c>
      <c r="E171" s="1">
        <v>6.0</v>
      </c>
      <c r="F171" s="1">
        <v>75100.0</v>
      </c>
    </row>
    <row r="172">
      <c r="A172" s="1" t="s">
        <v>425</v>
      </c>
      <c r="B172" s="1" t="s">
        <v>426</v>
      </c>
      <c r="C172" s="15">
        <f>+36706088654</f>
        <v>36706088654</v>
      </c>
      <c r="D172" s="1">
        <v>5.0</v>
      </c>
      <c r="E172" s="1">
        <v>6.0</v>
      </c>
      <c r="F172" s="1">
        <v>59600.0</v>
      </c>
    </row>
    <row r="173">
      <c r="A173" s="1" t="s">
        <v>427</v>
      </c>
      <c r="B173" s="1" t="s">
        <v>428</v>
      </c>
      <c r="C173" s="15">
        <f>+36305210018</f>
        <v>36305210018</v>
      </c>
      <c r="D173" s="1">
        <v>4.0</v>
      </c>
      <c r="E173" s="1">
        <v>6.0</v>
      </c>
      <c r="F173" s="1">
        <v>51200.0</v>
      </c>
    </row>
    <row r="174">
      <c r="A174" s="1" t="s">
        <v>429</v>
      </c>
      <c r="B174" s="1" t="s">
        <v>430</v>
      </c>
      <c r="C174" s="15">
        <f>+36203792922</f>
        <v>36203792922</v>
      </c>
      <c r="D174" s="1">
        <v>3.0</v>
      </c>
      <c r="E174" s="1">
        <v>6.0</v>
      </c>
      <c r="F174" s="1">
        <v>52100.0</v>
      </c>
    </row>
    <row r="175">
      <c r="A175" s="1" t="s">
        <v>431</v>
      </c>
      <c r="B175" s="1" t="s">
        <v>432</v>
      </c>
      <c r="C175" s="15">
        <f>+36703622596</f>
        <v>36703622596</v>
      </c>
      <c r="D175" s="1">
        <v>8.0</v>
      </c>
      <c r="E175" s="1">
        <v>5.0</v>
      </c>
      <c r="F175" s="1">
        <v>85300.0</v>
      </c>
    </row>
    <row r="176">
      <c r="A176" s="1" t="s">
        <v>433</v>
      </c>
      <c r="B176" s="1" t="s">
        <v>434</v>
      </c>
      <c r="C176" s="15">
        <f>+36309862850</f>
        <v>36309862850</v>
      </c>
      <c r="D176" s="1">
        <v>5.0</v>
      </c>
      <c r="E176" s="1">
        <v>5.0</v>
      </c>
      <c r="F176" s="1">
        <v>45300.0</v>
      </c>
    </row>
    <row r="177">
      <c r="A177" s="1" t="s">
        <v>435</v>
      </c>
      <c r="B177" s="1" t="s">
        <v>436</v>
      </c>
      <c r="C177" s="15">
        <f>+36308437199</f>
        <v>36308437199</v>
      </c>
      <c r="D177" s="1">
        <v>5.0</v>
      </c>
      <c r="E177" s="1">
        <v>5.0</v>
      </c>
      <c r="F177" s="1">
        <v>51900.0</v>
      </c>
    </row>
    <row r="178">
      <c r="A178" s="1" t="s">
        <v>437</v>
      </c>
      <c r="B178" s="1" t="s">
        <v>438</v>
      </c>
      <c r="C178" s="15">
        <f>+36302688700</f>
        <v>36302688700</v>
      </c>
      <c r="D178" s="1">
        <v>3.0</v>
      </c>
      <c r="E178" s="1">
        <v>5.0</v>
      </c>
      <c r="F178" s="1">
        <v>57800.0</v>
      </c>
    </row>
    <row r="179">
      <c r="A179" s="1" t="s">
        <v>439</v>
      </c>
      <c r="B179" s="1" t="s">
        <v>440</v>
      </c>
      <c r="C179" s="15">
        <f>+36704230924</f>
        <v>36704230924</v>
      </c>
      <c r="D179" s="1">
        <v>6.0</v>
      </c>
      <c r="E179" s="1">
        <v>5.0</v>
      </c>
      <c r="F179" s="1">
        <v>43300.0</v>
      </c>
    </row>
    <row r="180">
      <c r="A180" s="1" t="s">
        <v>441</v>
      </c>
      <c r="B180" s="1" t="s">
        <v>442</v>
      </c>
      <c r="C180" s="15">
        <f>+36309380758</f>
        <v>36309380758</v>
      </c>
      <c r="D180" s="1">
        <v>5.0</v>
      </c>
      <c r="E180" s="1">
        <v>5.0</v>
      </c>
      <c r="F180" s="1">
        <v>42500.0</v>
      </c>
    </row>
    <row r="181">
      <c r="A181" s="1" t="s">
        <v>443</v>
      </c>
      <c r="B181" s="1" t="s">
        <v>444</v>
      </c>
      <c r="C181" s="15">
        <f>+36707976490</f>
        <v>36707976490</v>
      </c>
      <c r="D181" s="1">
        <v>4.0</v>
      </c>
      <c r="E181" s="1">
        <v>5.0</v>
      </c>
      <c r="F181" s="1">
        <v>56400.0</v>
      </c>
    </row>
    <row r="182">
      <c r="A182" s="1" t="s">
        <v>445</v>
      </c>
      <c r="B182" s="1" t="s">
        <v>446</v>
      </c>
      <c r="C182" s="15">
        <f>+36209316997</f>
        <v>36209316997</v>
      </c>
      <c r="D182" s="1">
        <v>7.0</v>
      </c>
      <c r="E182" s="1">
        <v>5.0</v>
      </c>
      <c r="F182" s="1">
        <v>78400.0</v>
      </c>
    </row>
    <row r="183">
      <c r="A183" s="1" t="s">
        <v>447</v>
      </c>
      <c r="B183" s="1" t="s">
        <v>448</v>
      </c>
      <c r="C183" s="15">
        <f>+36304660419</f>
        <v>36304660419</v>
      </c>
      <c r="D183" s="1">
        <v>4.0</v>
      </c>
      <c r="E183" s="1">
        <v>5.0</v>
      </c>
      <c r="F183" s="1">
        <v>58500.0</v>
      </c>
    </row>
    <row r="184">
      <c r="A184" s="1" t="s">
        <v>449</v>
      </c>
      <c r="B184" s="1" t="s">
        <v>450</v>
      </c>
      <c r="C184" s="15">
        <f>+36300133165</f>
        <v>36300133165</v>
      </c>
      <c r="D184" s="1">
        <v>4.0</v>
      </c>
      <c r="E184" s="1">
        <v>5.0</v>
      </c>
      <c r="F184" s="1">
        <v>50100.0</v>
      </c>
    </row>
    <row r="185">
      <c r="A185" s="1" t="s">
        <v>451</v>
      </c>
      <c r="B185" s="1" t="s">
        <v>452</v>
      </c>
      <c r="C185" s="15">
        <f>+36202409313</f>
        <v>36202409313</v>
      </c>
      <c r="D185" s="1">
        <v>6.0</v>
      </c>
      <c r="E185" s="1">
        <v>5.0</v>
      </c>
      <c r="F185" s="1">
        <v>36300.0</v>
      </c>
    </row>
    <row r="186">
      <c r="A186" s="1" t="s">
        <v>453</v>
      </c>
      <c r="B186" s="1" t="s">
        <v>454</v>
      </c>
      <c r="C186" s="15">
        <f>+36302518244</f>
        <v>36302518244</v>
      </c>
      <c r="D186" s="1">
        <v>3.0</v>
      </c>
      <c r="E186" s="1">
        <v>5.0</v>
      </c>
      <c r="F186" s="1">
        <v>34400.0</v>
      </c>
    </row>
    <row r="187">
      <c r="A187" s="1" t="s">
        <v>455</v>
      </c>
      <c r="B187" s="1" t="s">
        <v>456</v>
      </c>
      <c r="C187" s="15">
        <f>+36202193091</f>
        <v>36202193091</v>
      </c>
      <c r="D187" s="1">
        <v>4.0</v>
      </c>
      <c r="E187" s="1">
        <v>5.0</v>
      </c>
      <c r="F187" s="1">
        <v>48000.0</v>
      </c>
    </row>
    <row r="188">
      <c r="A188" s="1" t="s">
        <v>457</v>
      </c>
      <c r="B188" s="1" t="s">
        <v>458</v>
      </c>
      <c r="C188" s="15">
        <f>+36301945671</f>
        <v>36301945671</v>
      </c>
      <c r="D188" s="1">
        <v>4.0</v>
      </c>
      <c r="E188" s="1">
        <v>5.0</v>
      </c>
      <c r="F188" s="1">
        <v>51900.0</v>
      </c>
    </row>
    <row r="189">
      <c r="A189" s="1" t="s">
        <v>459</v>
      </c>
      <c r="B189" s="1" t="s">
        <v>460</v>
      </c>
      <c r="C189" s="15">
        <f>+36307882486</f>
        <v>36307882486</v>
      </c>
      <c r="D189" s="1">
        <v>5.0</v>
      </c>
      <c r="E189" s="1">
        <v>5.0</v>
      </c>
      <c r="F189" s="1">
        <v>55700.0</v>
      </c>
    </row>
    <row r="190">
      <c r="A190" s="1" t="s">
        <v>461</v>
      </c>
      <c r="B190" s="1" t="s">
        <v>462</v>
      </c>
      <c r="C190" s="15">
        <f>+36308666458</f>
        <v>36308666458</v>
      </c>
      <c r="D190" s="1">
        <v>4.0</v>
      </c>
      <c r="E190" s="1">
        <v>5.0</v>
      </c>
      <c r="F190" s="1">
        <v>67200.0</v>
      </c>
    </row>
    <row r="191">
      <c r="A191" s="1" t="s">
        <v>463</v>
      </c>
      <c r="B191" s="1" t="s">
        <v>464</v>
      </c>
      <c r="C191" s="15">
        <f>+36307903085</f>
        <v>36307903085</v>
      </c>
      <c r="D191" s="1">
        <v>4.0</v>
      </c>
      <c r="E191" s="1">
        <v>5.0</v>
      </c>
      <c r="F191" s="1">
        <v>49400.0</v>
      </c>
    </row>
    <row r="192">
      <c r="A192" s="1" t="s">
        <v>465</v>
      </c>
      <c r="B192" s="1" t="s">
        <v>466</v>
      </c>
      <c r="C192" s="15">
        <f>+36203907682</f>
        <v>36203907682</v>
      </c>
      <c r="D192" s="1">
        <v>4.0</v>
      </c>
      <c r="E192" s="1">
        <v>5.0</v>
      </c>
      <c r="F192" s="1">
        <v>46400.0</v>
      </c>
    </row>
    <row r="193">
      <c r="A193" s="1" t="s">
        <v>467</v>
      </c>
      <c r="B193" s="1" t="s">
        <v>468</v>
      </c>
      <c r="C193" s="15">
        <f>+36302209045</f>
        <v>36302209045</v>
      </c>
      <c r="D193" s="1">
        <v>4.0</v>
      </c>
      <c r="E193" s="1">
        <v>5.0</v>
      </c>
      <c r="F193" s="1">
        <v>54200.0</v>
      </c>
    </row>
    <row r="194">
      <c r="A194" s="1" t="s">
        <v>469</v>
      </c>
      <c r="B194" s="1" t="s">
        <v>470</v>
      </c>
      <c r="C194" s="15">
        <f>+36303624580</f>
        <v>36303624580</v>
      </c>
      <c r="D194" s="1">
        <v>5.0</v>
      </c>
      <c r="E194" s="1">
        <v>5.0</v>
      </c>
      <c r="F194" s="1">
        <v>69400.0</v>
      </c>
    </row>
    <row r="195">
      <c r="A195" s="1" t="s">
        <v>471</v>
      </c>
      <c r="B195" s="1" t="s">
        <v>472</v>
      </c>
      <c r="C195" s="15">
        <f>+36302969548</f>
        <v>36302969548</v>
      </c>
      <c r="D195" s="1">
        <v>3.0</v>
      </c>
      <c r="E195" s="1">
        <v>5.0</v>
      </c>
      <c r="F195" s="1">
        <v>57800.0</v>
      </c>
    </row>
    <row r="196">
      <c r="A196" s="1" t="s">
        <v>473</v>
      </c>
      <c r="B196" s="1" t="s">
        <v>474</v>
      </c>
      <c r="C196" s="15">
        <f>+36705511617</f>
        <v>36705511617</v>
      </c>
      <c r="D196" s="1">
        <v>4.0</v>
      </c>
      <c r="E196" s="1">
        <v>5.0</v>
      </c>
      <c r="F196" s="1">
        <v>47800.0</v>
      </c>
    </row>
    <row r="197">
      <c r="A197" s="1" t="s">
        <v>475</v>
      </c>
      <c r="B197" s="1" t="s">
        <v>476</v>
      </c>
      <c r="C197" s="15">
        <f>+36305708320</f>
        <v>36305708320</v>
      </c>
      <c r="D197" s="1">
        <v>4.0</v>
      </c>
      <c r="E197" s="1">
        <v>5.0</v>
      </c>
      <c r="F197" s="1">
        <v>50500.0</v>
      </c>
    </row>
    <row r="198">
      <c r="A198" s="1" t="s">
        <v>477</v>
      </c>
      <c r="B198" s="1" t="s">
        <v>478</v>
      </c>
      <c r="C198" s="15">
        <f>+36202519821</f>
        <v>36202519821</v>
      </c>
      <c r="D198" s="1">
        <v>4.0</v>
      </c>
      <c r="E198" s="1">
        <v>5.0</v>
      </c>
      <c r="F198" s="1">
        <v>57200.0</v>
      </c>
    </row>
    <row r="199">
      <c r="A199" s="1" t="s">
        <v>479</v>
      </c>
      <c r="B199" s="1" t="s">
        <v>480</v>
      </c>
      <c r="C199" s="15">
        <f>+36703135371</f>
        <v>36703135371</v>
      </c>
      <c r="D199" s="1">
        <v>5.0</v>
      </c>
      <c r="E199" s="1">
        <v>5.0</v>
      </c>
      <c r="F199" s="1">
        <v>41100.0</v>
      </c>
    </row>
    <row r="200">
      <c r="A200" s="1" t="s">
        <v>481</v>
      </c>
      <c r="B200" s="1" t="s">
        <v>482</v>
      </c>
      <c r="C200" s="15">
        <f>+36205441717</f>
        <v>36205441717</v>
      </c>
      <c r="D200" s="1">
        <v>3.0</v>
      </c>
      <c r="E200" s="1">
        <v>5.0</v>
      </c>
      <c r="F200" s="1">
        <v>92600.0</v>
      </c>
    </row>
    <row r="201">
      <c r="A201" s="1" t="s">
        <v>483</v>
      </c>
      <c r="B201" s="1" t="s">
        <v>484</v>
      </c>
      <c r="C201" s="15">
        <f>+36703177115</f>
        <v>36703177115</v>
      </c>
      <c r="D201" s="1">
        <v>5.0</v>
      </c>
      <c r="E201" s="1">
        <v>5.0</v>
      </c>
      <c r="F201" s="1">
        <v>46600.0</v>
      </c>
    </row>
    <row r="202">
      <c r="A202" s="1" t="s">
        <v>485</v>
      </c>
      <c r="B202" s="1" t="s">
        <v>486</v>
      </c>
      <c r="C202" s="15">
        <f>+36707761531</f>
        <v>36707761531</v>
      </c>
      <c r="D202" s="1">
        <v>4.0</v>
      </c>
      <c r="E202" s="1">
        <v>5.0</v>
      </c>
      <c r="F202" s="1">
        <v>49900.0</v>
      </c>
    </row>
    <row r="203">
      <c r="A203" s="1" t="s">
        <v>487</v>
      </c>
      <c r="B203" s="1" t="s">
        <v>488</v>
      </c>
      <c r="C203" s="15">
        <f>+36703748627</f>
        <v>36703748627</v>
      </c>
      <c r="D203" s="1">
        <v>4.0</v>
      </c>
      <c r="E203" s="1">
        <v>5.0</v>
      </c>
      <c r="F203" s="1">
        <v>41200.0</v>
      </c>
    </row>
    <row r="204">
      <c r="A204" s="1" t="s">
        <v>489</v>
      </c>
      <c r="B204" s="1" t="s">
        <v>490</v>
      </c>
      <c r="C204" s="15">
        <f>+36706771712</f>
        <v>36706771712</v>
      </c>
      <c r="D204" s="1">
        <v>4.0</v>
      </c>
      <c r="E204" s="1">
        <v>5.0</v>
      </c>
      <c r="F204" s="1">
        <v>43300.0</v>
      </c>
    </row>
    <row r="205">
      <c r="A205" s="1" t="s">
        <v>491</v>
      </c>
      <c r="B205" s="1" t="s">
        <v>492</v>
      </c>
      <c r="C205" s="15">
        <f>+36703658289</f>
        <v>36703658289</v>
      </c>
      <c r="D205" s="1">
        <v>3.0</v>
      </c>
      <c r="E205" s="1">
        <v>5.0</v>
      </c>
      <c r="F205" s="1">
        <v>45800.0</v>
      </c>
    </row>
    <row r="206">
      <c r="A206" s="1" t="s">
        <v>493</v>
      </c>
      <c r="B206" s="1" t="s">
        <v>494</v>
      </c>
      <c r="C206" s="15">
        <f>+36705190182</f>
        <v>36705190182</v>
      </c>
      <c r="D206" s="1">
        <v>2.0</v>
      </c>
      <c r="E206" s="1">
        <v>5.0</v>
      </c>
      <c r="F206" s="1">
        <v>32200.0</v>
      </c>
    </row>
    <row r="207">
      <c r="A207" s="1" t="s">
        <v>495</v>
      </c>
      <c r="B207" s="1" t="s">
        <v>496</v>
      </c>
      <c r="C207" s="15">
        <f>+36305263314</f>
        <v>36305263314</v>
      </c>
      <c r="D207" s="1">
        <v>5.0</v>
      </c>
      <c r="E207" s="1">
        <v>5.0</v>
      </c>
      <c r="F207" s="1">
        <v>53200.0</v>
      </c>
    </row>
    <row r="208">
      <c r="A208" s="1" t="s">
        <v>497</v>
      </c>
      <c r="B208" s="1" t="s">
        <v>498</v>
      </c>
      <c r="C208" s="15">
        <f>+36302319611</f>
        <v>36302319611</v>
      </c>
      <c r="D208" s="1">
        <v>3.0</v>
      </c>
      <c r="E208" s="1">
        <v>5.0</v>
      </c>
      <c r="F208" s="1">
        <v>37800.0</v>
      </c>
    </row>
    <row r="209">
      <c r="A209" s="1" t="s">
        <v>499</v>
      </c>
      <c r="B209" s="1" t="s">
        <v>500</v>
      </c>
      <c r="C209" s="15">
        <f>+36209648292</f>
        <v>36209648292</v>
      </c>
      <c r="D209" s="1">
        <v>3.0</v>
      </c>
      <c r="E209" s="1">
        <v>5.0</v>
      </c>
      <c r="F209" s="1">
        <v>35000.0</v>
      </c>
    </row>
    <row r="210">
      <c r="A210" s="1" t="s">
        <v>501</v>
      </c>
      <c r="B210" s="1" t="s">
        <v>502</v>
      </c>
      <c r="C210" s="15">
        <f>+36204854430</f>
        <v>36204854430</v>
      </c>
      <c r="D210" s="1">
        <v>4.0</v>
      </c>
      <c r="E210" s="1">
        <v>5.0</v>
      </c>
      <c r="F210" s="1">
        <v>66700.0</v>
      </c>
    </row>
    <row r="211">
      <c r="A211" s="1" t="s">
        <v>503</v>
      </c>
      <c r="B211" s="1" t="s">
        <v>504</v>
      </c>
      <c r="C211" s="15">
        <f>+36703168579</f>
        <v>36703168579</v>
      </c>
      <c r="D211" s="1">
        <v>4.0</v>
      </c>
      <c r="E211" s="1">
        <v>5.0</v>
      </c>
      <c r="F211" s="1">
        <v>36100.0</v>
      </c>
    </row>
    <row r="212">
      <c r="A212" s="1" t="s">
        <v>505</v>
      </c>
      <c r="B212" s="1" t="s">
        <v>506</v>
      </c>
      <c r="C212" s="15">
        <f>+36305689564</f>
        <v>36305689564</v>
      </c>
      <c r="D212" s="1">
        <v>4.0</v>
      </c>
      <c r="E212" s="1">
        <v>5.0</v>
      </c>
      <c r="F212" s="1">
        <v>46700.0</v>
      </c>
    </row>
    <row r="213">
      <c r="A213" s="1" t="s">
        <v>507</v>
      </c>
      <c r="B213" s="1" t="s">
        <v>508</v>
      </c>
      <c r="C213" s="15">
        <f>+36305158623</f>
        <v>36305158623</v>
      </c>
      <c r="D213" s="1">
        <v>4.0</v>
      </c>
      <c r="E213" s="1">
        <v>5.0</v>
      </c>
      <c r="F213" s="1">
        <v>48200.0</v>
      </c>
    </row>
    <row r="214">
      <c r="A214" s="1" t="s">
        <v>509</v>
      </c>
      <c r="B214" s="1" t="s">
        <v>510</v>
      </c>
      <c r="C214" s="15">
        <f>+36703714563</f>
        <v>36703714563</v>
      </c>
      <c r="D214" s="1">
        <v>5.0</v>
      </c>
      <c r="E214" s="1">
        <v>5.0</v>
      </c>
      <c r="F214" s="1">
        <v>37600.0</v>
      </c>
    </row>
    <row r="215">
      <c r="A215" s="1" t="s">
        <v>511</v>
      </c>
      <c r="B215" s="1" t="s">
        <v>512</v>
      </c>
      <c r="C215" s="15">
        <f>+36709449750</f>
        <v>36709449750</v>
      </c>
      <c r="D215" s="1">
        <v>3.0</v>
      </c>
      <c r="E215" s="1">
        <v>5.0</v>
      </c>
      <c r="F215" s="1">
        <v>52900.0</v>
      </c>
    </row>
    <row r="216">
      <c r="A216" s="1" t="s">
        <v>513</v>
      </c>
      <c r="B216" s="1" t="s">
        <v>514</v>
      </c>
      <c r="C216" s="15">
        <f>+36206100450</f>
        <v>36206100450</v>
      </c>
      <c r="D216" s="1">
        <v>7.0</v>
      </c>
      <c r="E216" s="1">
        <v>5.0</v>
      </c>
      <c r="F216" s="1">
        <v>0.0</v>
      </c>
    </row>
    <row r="217">
      <c r="A217" s="1" t="s">
        <v>515</v>
      </c>
      <c r="B217" s="1" t="s">
        <v>516</v>
      </c>
      <c r="C217" s="15">
        <f>+36204321689</f>
        <v>36204321689</v>
      </c>
      <c r="D217" s="1">
        <v>5.0</v>
      </c>
      <c r="E217" s="1">
        <v>5.0</v>
      </c>
      <c r="F217" s="1">
        <v>39200.0</v>
      </c>
    </row>
    <row r="218">
      <c r="A218" s="1" t="s">
        <v>517</v>
      </c>
      <c r="B218" s="1" t="s">
        <v>518</v>
      </c>
      <c r="C218" s="15">
        <f>+36706105416</f>
        <v>36706105416</v>
      </c>
      <c r="D218" s="1">
        <v>5.0</v>
      </c>
      <c r="E218" s="1">
        <v>5.0</v>
      </c>
      <c r="F218" s="1">
        <v>53800.0</v>
      </c>
    </row>
    <row r="219">
      <c r="A219" s="1" t="s">
        <v>519</v>
      </c>
      <c r="B219" s="1" t="s">
        <v>520</v>
      </c>
      <c r="C219" s="15">
        <f>+36301566909</f>
        <v>36301566909</v>
      </c>
      <c r="D219" s="1">
        <v>3.0</v>
      </c>
      <c r="E219" s="1">
        <v>5.0</v>
      </c>
      <c r="F219" s="1">
        <v>45800.0</v>
      </c>
    </row>
    <row r="220">
      <c r="A220" s="1" t="s">
        <v>521</v>
      </c>
      <c r="B220" s="1" t="s">
        <v>522</v>
      </c>
      <c r="C220" s="15">
        <f>+36703373769</f>
        <v>36703373769</v>
      </c>
      <c r="D220" s="1">
        <v>5.0</v>
      </c>
      <c r="E220" s="1">
        <v>5.0</v>
      </c>
      <c r="F220" s="1">
        <v>73500.0</v>
      </c>
    </row>
    <row r="221">
      <c r="A221" s="1" t="s">
        <v>523</v>
      </c>
      <c r="B221" s="1" t="s">
        <v>524</v>
      </c>
      <c r="C221" s="15">
        <f>+36704367299</f>
        <v>36704367299</v>
      </c>
      <c r="D221" s="1">
        <v>4.0</v>
      </c>
      <c r="E221" s="1">
        <v>5.0</v>
      </c>
      <c r="F221" s="1">
        <v>40100.0</v>
      </c>
    </row>
    <row r="222">
      <c r="A222" s="1" t="s">
        <v>525</v>
      </c>
      <c r="B222" s="1" t="s">
        <v>526</v>
      </c>
      <c r="C222" s="15">
        <f>+36706005150</f>
        <v>36706005150</v>
      </c>
      <c r="D222" s="1">
        <v>3.0</v>
      </c>
      <c r="E222" s="1">
        <v>5.0</v>
      </c>
      <c r="F222" s="1">
        <v>33600.0</v>
      </c>
    </row>
    <row r="223">
      <c r="A223" s="1" t="s">
        <v>527</v>
      </c>
      <c r="B223" s="1" t="s">
        <v>528</v>
      </c>
      <c r="C223" s="15">
        <f>+36204858056</f>
        <v>36204858056</v>
      </c>
      <c r="D223" s="1">
        <v>5.0</v>
      </c>
      <c r="E223" s="1">
        <v>5.0</v>
      </c>
      <c r="F223" s="1">
        <v>50400.0</v>
      </c>
    </row>
    <row r="224">
      <c r="A224" s="1" t="s">
        <v>529</v>
      </c>
      <c r="B224" s="1" t="s">
        <v>530</v>
      </c>
      <c r="C224" s="15">
        <f>+36209393111</f>
        <v>36209393111</v>
      </c>
      <c r="D224" s="1">
        <v>5.0</v>
      </c>
      <c r="E224" s="1">
        <v>5.0</v>
      </c>
      <c r="F224" s="1">
        <v>51700.0</v>
      </c>
    </row>
    <row r="225">
      <c r="A225" s="1" t="s">
        <v>531</v>
      </c>
      <c r="B225" s="1" t="s">
        <v>532</v>
      </c>
      <c r="C225" s="15">
        <f>+36306281494</f>
        <v>36306281494</v>
      </c>
      <c r="D225" s="1">
        <v>5.0</v>
      </c>
      <c r="E225" s="1">
        <v>5.0</v>
      </c>
      <c r="F225" s="1">
        <v>47500.0</v>
      </c>
    </row>
    <row r="226">
      <c r="A226" s="1" t="s">
        <v>533</v>
      </c>
      <c r="B226" s="1" t="s">
        <v>534</v>
      </c>
      <c r="C226" s="15">
        <f>+36304012318</f>
        <v>36304012318</v>
      </c>
      <c r="D226" s="1">
        <v>3.0</v>
      </c>
      <c r="E226" s="1">
        <v>5.0</v>
      </c>
      <c r="F226" s="1">
        <v>57400.0</v>
      </c>
    </row>
    <row r="227">
      <c r="A227" s="1" t="s">
        <v>535</v>
      </c>
      <c r="B227" s="1" t="s">
        <v>536</v>
      </c>
      <c r="C227" s="15">
        <f>+36305783644</f>
        <v>36305783644</v>
      </c>
      <c r="D227" s="1">
        <v>5.0</v>
      </c>
      <c r="E227" s="1">
        <v>5.0</v>
      </c>
      <c r="F227" s="1">
        <v>76600.0</v>
      </c>
    </row>
    <row r="228">
      <c r="A228" s="1" t="s">
        <v>537</v>
      </c>
      <c r="B228" s="1" t="s">
        <v>538</v>
      </c>
      <c r="C228" s="15">
        <f>+421918514942</f>
        <v>421918514942</v>
      </c>
      <c r="D228" s="1">
        <v>5.0</v>
      </c>
      <c r="E228" s="1">
        <v>5.0</v>
      </c>
      <c r="F228" s="1">
        <v>51400.0</v>
      </c>
    </row>
    <row r="229">
      <c r="A229" s="1" t="s">
        <v>539</v>
      </c>
      <c r="B229" s="1" t="s">
        <v>540</v>
      </c>
      <c r="C229" s="15">
        <f>+36307550653</f>
        <v>36307550653</v>
      </c>
      <c r="D229" s="1">
        <v>4.0</v>
      </c>
      <c r="E229" s="1">
        <v>5.0</v>
      </c>
      <c r="F229" s="1">
        <v>58900.0</v>
      </c>
    </row>
    <row r="230">
      <c r="A230" s="1" t="s">
        <v>541</v>
      </c>
      <c r="B230" s="1" t="s">
        <v>542</v>
      </c>
      <c r="C230" s="15">
        <f>+36309166392</f>
        <v>36309166392</v>
      </c>
      <c r="D230" s="1">
        <v>5.0</v>
      </c>
      <c r="E230" s="1">
        <v>5.0</v>
      </c>
      <c r="F230" s="1">
        <v>44800.0</v>
      </c>
    </row>
    <row r="231">
      <c r="A231" s="1" t="s">
        <v>543</v>
      </c>
      <c r="B231" s="1" t="s">
        <v>544</v>
      </c>
      <c r="C231" s="15">
        <f>+36317005290</f>
        <v>36317005290</v>
      </c>
      <c r="D231" s="1">
        <v>3.0</v>
      </c>
      <c r="E231" s="1">
        <v>5.0</v>
      </c>
      <c r="F231" s="1">
        <v>48200.0</v>
      </c>
    </row>
    <row r="232">
      <c r="A232" s="1" t="s">
        <v>545</v>
      </c>
      <c r="B232" s="1" t="s">
        <v>546</v>
      </c>
      <c r="C232" s="15">
        <f>+36304153218</f>
        <v>36304153218</v>
      </c>
      <c r="D232" s="1">
        <v>6.0</v>
      </c>
      <c r="E232" s="1">
        <v>5.0</v>
      </c>
      <c r="F232" s="1">
        <v>49000.0</v>
      </c>
    </row>
    <row r="233">
      <c r="A233" s="1" t="s">
        <v>547</v>
      </c>
      <c r="B233" s="1" t="s">
        <v>548</v>
      </c>
      <c r="C233" s="15">
        <f>+36309057280</f>
        <v>36309057280</v>
      </c>
      <c r="D233" s="1">
        <v>2.0</v>
      </c>
      <c r="E233" s="1">
        <v>5.0</v>
      </c>
      <c r="F233" s="1">
        <v>41800.0</v>
      </c>
    </row>
    <row r="234">
      <c r="A234" s="1" t="s">
        <v>549</v>
      </c>
      <c r="B234" s="1" t="s">
        <v>550</v>
      </c>
      <c r="C234" s="15">
        <f>+36706281023</f>
        <v>36706281023</v>
      </c>
      <c r="D234" s="1">
        <v>5.0</v>
      </c>
      <c r="E234" s="1">
        <v>5.0</v>
      </c>
      <c r="F234" s="1">
        <v>45600.0</v>
      </c>
    </row>
    <row r="235">
      <c r="A235" s="1" t="s">
        <v>551</v>
      </c>
      <c r="B235" s="1" t="s">
        <v>552</v>
      </c>
      <c r="C235" s="15">
        <f>+36304739324</f>
        <v>36304739324</v>
      </c>
      <c r="D235" s="1">
        <v>3.0</v>
      </c>
      <c r="E235" s="1">
        <v>5.0</v>
      </c>
      <c r="F235" s="1">
        <v>59700.0</v>
      </c>
    </row>
    <row r="236">
      <c r="A236" s="1" t="s">
        <v>553</v>
      </c>
      <c r="B236" s="1" t="s">
        <v>554</v>
      </c>
      <c r="C236" s="15">
        <f>+36306500319</f>
        <v>36306500319</v>
      </c>
      <c r="D236" s="1">
        <v>3.0</v>
      </c>
      <c r="E236" s="1">
        <v>5.0</v>
      </c>
      <c r="F236" s="1">
        <v>66100.0</v>
      </c>
    </row>
    <row r="237">
      <c r="A237" s="1" t="s">
        <v>555</v>
      </c>
      <c r="B237" s="1" t="s">
        <v>556</v>
      </c>
      <c r="C237" s="15">
        <f>+36202135591</f>
        <v>36202135591</v>
      </c>
      <c r="D237" s="1">
        <v>5.0</v>
      </c>
      <c r="E237" s="1">
        <v>5.0</v>
      </c>
      <c r="F237" s="1">
        <v>55300.0</v>
      </c>
    </row>
    <row r="238">
      <c r="A238" s="1" t="s">
        <v>557</v>
      </c>
      <c r="B238" s="1" t="s">
        <v>558</v>
      </c>
      <c r="C238" s="15">
        <f>+36702347265</f>
        <v>36702347265</v>
      </c>
      <c r="D238" s="1">
        <v>5.0</v>
      </c>
      <c r="E238" s="1">
        <v>5.0</v>
      </c>
      <c r="F238" s="1">
        <v>45500.0</v>
      </c>
    </row>
    <row r="239">
      <c r="A239" s="1" t="s">
        <v>559</v>
      </c>
      <c r="B239" s="1" t="s">
        <v>560</v>
      </c>
      <c r="C239" s="15">
        <f>+36207777701</f>
        <v>36207777701</v>
      </c>
      <c r="D239" s="1">
        <v>5.0</v>
      </c>
      <c r="E239" s="1">
        <v>5.0</v>
      </c>
      <c r="F239" s="1">
        <v>52000.0</v>
      </c>
    </row>
    <row r="240">
      <c r="A240" s="1" t="s">
        <v>561</v>
      </c>
      <c r="B240" s="1" t="s">
        <v>562</v>
      </c>
      <c r="C240" s="15">
        <f>+36709535202</f>
        <v>36709535202</v>
      </c>
      <c r="D240" s="1">
        <v>3.0</v>
      </c>
      <c r="E240" s="1">
        <v>5.0</v>
      </c>
      <c r="F240" s="1">
        <v>38400.0</v>
      </c>
    </row>
    <row r="241">
      <c r="A241" s="1" t="s">
        <v>563</v>
      </c>
      <c r="B241" s="1" t="s">
        <v>564</v>
      </c>
      <c r="C241" s="15">
        <f>+36307571980</f>
        <v>36307571980</v>
      </c>
      <c r="D241" s="1">
        <v>3.0</v>
      </c>
      <c r="E241" s="1">
        <v>5.0</v>
      </c>
      <c r="F241" s="1">
        <v>49700.0</v>
      </c>
    </row>
    <row r="242">
      <c r="A242" s="1" t="s">
        <v>565</v>
      </c>
      <c r="B242" s="1" t="s">
        <v>566</v>
      </c>
      <c r="C242" s="15">
        <f>+36209579706</f>
        <v>36209579706</v>
      </c>
      <c r="D242" s="1">
        <v>4.0</v>
      </c>
      <c r="E242" s="1">
        <v>5.0</v>
      </c>
      <c r="F242" s="1">
        <v>43300.0</v>
      </c>
    </row>
    <row r="243">
      <c r="A243" s="1" t="s">
        <v>567</v>
      </c>
      <c r="B243" s="1" t="s">
        <v>568</v>
      </c>
      <c r="C243" s="15">
        <f>+36306431877</f>
        <v>36306431877</v>
      </c>
      <c r="D243" s="1">
        <v>3.0</v>
      </c>
      <c r="E243" s="1">
        <v>5.0</v>
      </c>
      <c r="F243" s="1">
        <v>51000.0</v>
      </c>
    </row>
    <row r="244">
      <c r="A244" s="1" t="s">
        <v>569</v>
      </c>
      <c r="B244" s="1" t="s">
        <v>570</v>
      </c>
      <c r="C244" s="15">
        <f>+36301532082</f>
        <v>36301532082</v>
      </c>
      <c r="D244" s="1">
        <v>4.0</v>
      </c>
      <c r="E244" s="1">
        <v>5.0</v>
      </c>
      <c r="F244" s="1">
        <v>59000.0</v>
      </c>
    </row>
    <row r="245">
      <c r="A245" s="1" t="s">
        <v>571</v>
      </c>
      <c r="B245" s="1" t="s">
        <v>572</v>
      </c>
      <c r="C245" s="15">
        <f>+36205601296</f>
        <v>36205601296</v>
      </c>
      <c r="D245" s="1">
        <v>3.0</v>
      </c>
      <c r="E245" s="1">
        <v>5.0</v>
      </c>
      <c r="F245" s="1">
        <v>0.0</v>
      </c>
    </row>
    <row r="246">
      <c r="A246" s="1" t="s">
        <v>573</v>
      </c>
      <c r="B246" s="1" t="s">
        <v>574</v>
      </c>
      <c r="C246" s="15">
        <f>+36702914992</f>
        <v>36702914992</v>
      </c>
      <c r="D246" s="1">
        <v>4.0</v>
      </c>
      <c r="E246" s="1">
        <v>5.0</v>
      </c>
      <c r="F246" s="1">
        <v>72400.0</v>
      </c>
    </row>
    <row r="247">
      <c r="A247" s="1" t="s">
        <v>575</v>
      </c>
      <c r="B247" s="1" t="s">
        <v>576</v>
      </c>
      <c r="C247" s="15">
        <f>+36202977530</f>
        <v>36202977530</v>
      </c>
      <c r="D247" s="1">
        <v>5.0</v>
      </c>
      <c r="E247" s="1">
        <v>5.0</v>
      </c>
      <c r="F247" s="1">
        <v>44700.0</v>
      </c>
    </row>
    <row r="248">
      <c r="A248" s="1" t="s">
        <v>577</v>
      </c>
      <c r="B248" s="1" t="s">
        <v>578</v>
      </c>
      <c r="C248" s="15">
        <f>+36704320328</f>
        <v>36704320328</v>
      </c>
      <c r="D248" s="1">
        <v>5.0</v>
      </c>
      <c r="E248" s="1">
        <v>5.0</v>
      </c>
      <c r="F248" s="1">
        <v>41300.0</v>
      </c>
    </row>
    <row r="249">
      <c r="A249" s="1" t="s">
        <v>579</v>
      </c>
      <c r="B249" s="1" t="s">
        <v>580</v>
      </c>
      <c r="C249" s="15">
        <f>+36709434882</f>
        <v>36709434882</v>
      </c>
      <c r="D249" s="1">
        <v>3.0</v>
      </c>
      <c r="E249" s="1">
        <v>5.0</v>
      </c>
      <c r="F249" s="1">
        <v>61000.0</v>
      </c>
    </row>
    <row r="250">
      <c r="A250" s="1" t="s">
        <v>581</v>
      </c>
      <c r="B250" s="1" t="s">
        <v>582</v>
      </c>
      <c r="C250" s="15">
        <f>+36703765232</f>
        <v>36703765232</v>
      </c>
      <c r="D250" s="1">
        <v>4.0</v>
      </c>
      <c r="E250" s="1">
        <v>5.0</v>
      </c>
      <c r="F250" s="1">
        <v>65500.0</v>
      </c>
    </row>
    <row r="251">
      <c r="A251" s="1" t="s">
        <v>583</v>
      </c>
      <c r="B251" s="1" t="s">
        <v>584</v>
      </c>
      <c r="C251" s="15">
        <f>+36203362574</f>
        <v>36203362574</v>
      </c>
      <c r="D251" s="1">
        <v>6.0</v>
      </c>
      <c r="E251" s="1">
        <v>5.0</v>
      </c>
      <c r="F251" s="1">
        <v>48000.0</v>
      </c>
    </row>
    <row r="252">
      <c r="A252" s="1" t="s">
        <v>585</v>
      </c>
      <c r="B252" s="1" t="s">
        <v>586</v>
      </c>
      <c r="C252" s="15">
        <f>+36203608664</f>
        <v>36203608664</v>
      </c>
      <c r="D252" s="1">
        <v>6.0</v>
      </c>
      <c r="E252" s="1">
        <v>5.0</v>
      </c>
      <c r="F252" s="1">
        <v>48600.0</v>
      </c>
    </row>
    <row r="253">
      <c r="A253" s="1" t="s">
        <v>587</v>
      </c>
      <c r="B253" s="1" t="s">
        <v>588</v>
      </c>
      <c r="C253" s="15">
        <f>+36202058609</f>
        <v>36202058609</v>
      </c>
      <c r="D253" s="1">
        <v>7.0</v>
      </c>
      <c r="E253" s="1">
        <v>5.0</v>
      </c>
      <c r="F253" s="1">
        <v>89160.0</v>
      </c>
    </row>
    <row r="254">
      <c r="A254" s="1" t="s">
        <v>589</v>
      </c>
      <c r="B254" s="1" t="s">
        <v>590</v>
      </c>
      <c r="C254" s="15">
        <f>+36702928423</f>
        <v>36702928423</v>
      </c>
      <c r="D254" s="1">
        <v>6.0</v>
      </c>
      <c r="E254" s="1">
        <v>5.0</v>
      </c>
      <c r="F254" s="1">
        <v>67600.0</v>
      </c>
    </row>
    <row r="255">
      <c r="A255" s="1" t="s">
        <v>591</v>
      </c>
      <c r="B255" s="1" t="s">
        <v>592</v>
      </c>
      <c r="C255" s="15">
        <f>+36306197043</f>
        <v>36306197043</v>
      </c>
      <c r="D255" s="1">
        <v>6.0</v>
      </c>
      <c r="E255" s="1">
        <v>5.0</v>
      </c>
      <c r="F255" s="1">
        <v>44900.0</v>
      </c>
    </row>
    <row r="256">
      <c r="A256" s="1" t="s">
        <v>593</v>
      </c>
      <c r="B256" s="1" t="s">
        <v>594</v>
      </c>
      <c r="C256" s="15">
        <f>+36703256101</f>
        <v>36703256101</v>
      </c>
      <c r="D256" s="1">
        <v>5.0</v>
      </c>
      <c r="E256" s="1">
        <v>5.0</v>
      </c>
      <c r="F256" s="1">
        <v>47400.0</v>
      </c>
    </row>
    <row r="257">
      <c r="A257" s="1" t="s">
        <v>595</v>
      </c>
      <c r="B257" s="1" t="s">
        <v>596</v>
      </c>
      <c r="C257" s="15">
        <f>+36305816792</f>
        <v>36305816792</v>
      </c>
      <c r="D257" s="1">
        <v>3.0</v>
      </c>
      <c r="E257" s="1">
        <v>5.0</v>
      </c>
      <c r="F257" s="1">
        <v>41800.0</v>
      </c>
    </row>
    <row r="258">
      <c r="A258" s="1" t="s">
        <v>597</v>
      </c>
      <c r="B258" s="1" t="s">
        <v>598</v>
      </c>
      <c r="C258" s="15">
        <f>+36704596380</f>
        <v>36704596380</v>
      </c>
      <c r="D258" s="1">
        <v>3.0</v>
      </c>
      <c r="E258" s="1">
        <v>5.0</v>
      </c>
      <c r="F258" s="1">
        <v>46800.0</v>
      </c>
    </row>
    <row r="259">
      <c r="A259" s="1" t="s">
        <v>599</v>
      </c>
      <c r="B259" s="1" t="s">
        <v>600</v>
      </c>
      <c r="C259" s="15">
        <f>+36203946641</f>
        <v>36203946641</v>
      </c>
      <c r="D259" s="1">
        <v>6.0</v>
      </c>
      <c r="E259" s="1">
        <v>5.0</v>
      </c>
      <c r="F259" s="1">
        <v>118100.0</v>
      </c>
    </row>
    <row r="260">
      <c r="A260" s="1" t="s">
        <v>601</v>
      </c>
      <c r="B260" s="1" t="s">
        <v>602</v>
      </c>
      <c r="C260" s="15">
        <f>+36309895939</f>
        <v>36309895939</v>
      </c>
      <c r="D260" s="1">
        <v>4.0</v>
      </c>
      <c r="E260" s="1">
        <v>5.0</v>
      </c>
      <c r="F260" s="1">
        <v>47400.0</v>
      </c>
    </row>
    <row r="261">
      <c r="A261" s="1" t="s">
        <v>603</v>
      </c>
      <c r="B261" s="1" t="s">
        <v>604</v>
      </c>
      <c r="C261" s="15">
        <f>+36204317678</f>
        <v>36204317678</v>
      </c>
      <c r="D261" s="1">
        <v>2.0</v>
      </c>
      <c r="E261" s="1">
        <v>5.0</v>
      </c>
      <c r="F261" s="1">
        <v>42100.0</v>
      </c>
    </row>
    <row r="262">
      <c r="A262" s="1" t="s">
        <v>605</v>
      </c>
      <c r="B262" s="1" t="s">
        <v>606</v>
      </c>
      <c r="C262" s="15">
        <f>+36307460933</f>
        <v>36307460933</v>
      </c>
      <c r="D262" s="1">
        <v>3.0</v>
      </c>
      <c r="E262" s="1">
        <v>5.0</v>
      </c>
      <c r="F262" s="1">
        <v>37600.0</v>
      </c>
    </row>
    <row r="263">
      <c r="A263" s="1" t="s">
        <v>607</v>
      </c>
      <c r="B263" s="1" t="s">
        <v>608</v>
      </c>
      <c r="C263" s="15">
        <f>+36704526973</f>
        <v>36704526973</v>
      </c>
      <c r="D263" s="1">
        <v>4.0</v>
      </c>
      <c r="E263" s="1">
        <v>5.0</v>
      </c>
      <c r="F263" s="1">
        <v>69500.0</v>
      </c>
    </row>
    <row r="264">
      <c r="A264" s="1" t="s">
        <v>609</v>
      </c>
      <c r="B264" s="1" t="s">
        <v>610</v>
      </c>
      <c r="C264" s="15">
        <f>+36204561466</f>
        <v>36204561466</v>
      </c>
      <c r="D264" s="1">
        <v>8.0</v>
      </c>
      <c r="E264" s="1">
        <v>5.0</v>
      </c>
      <c r="F264" s="1">
        <v>94300.0</v>
      </c>
    </row>
    <row r="265">
      <c r="A265" s="1" t="s">
        <v>611</v>
      </c>
      <c r="B265" s="1" t="s">
        <v>612</v>
      </c>
      <c r="C265" s="15">
        <f>+36203772703</f>
        <v>36203772703</v>
      </c>
      <c r="D265" s="1">
        <v>4.0</v>
      </c>
      <c r="E265" s="1">
        <v>5.0</v>
      </c>
      <c r="F265" s="1">
        <v>72700.0</v>
      </c>
    </row>
    <row r="266">
      <c r="A266" s="1" t="s">
        <v>613</v>
      </c>
      <c r="B266" s="1" t="s">
        <v>614</v>
      </c>
      <c r="C266" s="15">
        <f>+36709460774</f>
        <v>36709460774</v>
      </c>
      <c r="D266" s="1">
        <v>2.0</v>
      </c>
      <c r="E266" s="1">
        <v>5.0</v>
      </c>
      <c r="F266" s="1">
        <v>45000.0</v>
      </c>
    </row>
    <row r="267">
      <c r="A267" s="1" t="s">
        <v>615</v>
      </c>
      <c r="B267" s="1" t="s">
        <v>616</v>
      </c>
      <c r="C267" s="15">
        <f>+36209315594</f>
        <v>36209315594</v>
      </c>
      <c r="D267" s="1">
        <v>6.0</v>
      </c>
      <c r="E267" s="1">
        <v>5.0</v>
      </c>
      <c r="F267" s="1">
        <v>33900.0</v>
      </c>
    </row>
    <row r="268">
      <c r="A268" s="1" t="s">
        <v>617</v>
      </c>
      <c r="B268" s="1" t="s">
        <v>618</v>
      </c>
      <c r="C268" s="15">
        <f>+36306355548</f>
        <v>36306355548</v>
      </c>
      <c r="D268" s="1">
        <v>3.0</v>
      </c>
      <c r="E268" s="1">
        <v>5.0</v>
      </c>
      <c r="F268" s="1">
        <v>49800.0</v>
      </c>
    </row>
    <row r="269">
      <c r="A269" s="1" t="s">
        <v>619</v>
      </c>
      <c r="B269" s="1" t="s">
        <v>620</v>
      </c>
      <c r="C269" s="15">
        <f>+36303163177</f>
        <v>36303163177</v>
      </c>
      <c r="D269" s="1">
        <v>1.0</v>
      </c>
      <c r="E269" s="1">
        <v>5.0</v>
      </c>
      <c r="F269" s="1">
        <v>49000.0</v>
      </c>
    </row>
    <row r="270">
      <c r="A270" s="1" t="s">
        <v>621</v>
      </c>
      <c r="B270" s="1" t="s">
        <v>622</v>
      </c>
      <c r="C270" s="15">
        <f>+36703875233</f>
        <v>36703875233</v>
      </c>
      <c r="D270" s="1">
        <v>3.0</v>
      </c>
      <c r="E270" s="1">
        <v>5.0</v>
      </c>
      <c r="F270" s="1">
        <v>44300.0</v>
      </c>
    </row>
    <row r="271">
      <c r="A271" s="1" t="s">
        <v>623</v>
      </c>
      <c r="B271" s="1" t="s">
        <v>624</v>
      </c>
      <c r="C271" s="15">
        <f>+36702824348</f>
        <v>36702824348</v>
      </c>
      <c r="D271" s="1">
        <v>4.0</v>
      </c>
      <c r="E271" s="1">
        <v>5.0</v>
      </c>
      <c r="F271" s="1">
        <v>53400.0</v>
      </c>
    </row>
    <row r="272">
      <c r="A272" s="1" t="s">
        <v>625</v>
      </c>
      <c r="B272" s="1" t="s">
        <v>626</v>
      </c>
      <c r="C272" s="15">
        <f>+36204404996</f>
        <v>36204404996</v>
      </c>
      <c r="D272" s="1">
        <v>3.0</v>
      </c>
      <c r="E272" s="1">
        <v>5.0</v>
      </c>
      <c r="F272" s="1">
        <v>51600.0</v>
      </c>
    </row>
    <row r="273">
      <c r="A273" s="1" t="s">
        <v>627</v>
      </c>
      <c r="B273" s="1" t="s">
        <v>628</v>
      </c>
      <c r="C273" s="15">
        <f>+36706560022</f>
        <v>36706560022</v>
      </c>
      <c r="D273" s="1">
        <v>5.0</v>
      </c>
      <c r="E273" s="1">
        <v>5.0</v>
      </c>
      <c r="F273" s="1">
        <v>53200.0</v>
      </c>
    </row>
    <row r="274">
      <c r="A274" s="1" t="s">
        <v>629</v>
      </c>
      <c r="B274" s="1" t="s">
        <v>630</v>
      </c>
      <c r="C274" s="15">
        <f>+36205558427</f>
        <v>36205558427</v>
      </c>
      <c r="D274" s="1">
        <v>5.0</v>
      </c>
      <c r="E274" s="1">
        <v>5.0</v>
      </c>
      <c r="F274" s="1">
        <v>59000.0</v>
      </c>
    </row>
    <row r="275">
      <c r="A275" s="1" t="s">
        <v>631</v>
      </c>
      <c r="B275" s="1" t="s">
        <v>632</v>
      </c>
      <c r="C275" s="15">
        <f>+36306385968</f>
        <v>36306385968</v>
      </c>
      <c r="D275" s="1">
        <v>4.0</v>
      </c>
      <c r="E275" s="1">
        <v>5.0</v>
      </c>
      <c r="F275" s="1">
        <v>48100.0</v>
      </c>
    </row>
    <row r="276">
      <c r="A276" s="1" t="s">
        <v>633</v>
      </c>
      <c r="B276" s="1" t="s">
        <v>634</v>
      </c>
      <c r="C276" s="15">
        <f>+36306458601</f>
        <v>36306458601</v>
      </c>
      <c r="D276" s="1">
        <v>4.0</v>
      </c>
      <c r="E276" s="1">
        <v>5.0</v>
      </c>
      <c r="F276" s="1">
        <v>47700.0</v>
      </c>
    </row>
    <row r="277">
      <c r="A277" s="1" t="s">
        <v>635</v>
      </c>
      <c r="B277" s="1" t="s">
        <v>636</v>
      </c>
      <c r="C277" s="15">
        <f>+36707740813</f>
        <v>36707740813</v>
      </c>
      <c r="D277" s="1">
        <v>5.0</v>
      </c>
      <c r="E277" s="1">
        <v>5.0</v>
      </c>
      <c r="F277" s="1">
        <v>39100.0</v>
      </c>
    </row>
    <row r="278">
      <c r="A278" s="1" t="s">
        <v>637</v>
      </c>
      <c r="B278" s="1" t="s">
        <v>638</v>
      </c>
      <c r="C278" s="15">
        <f>+36707781841</f>
        <v>36707781841</v>
      </c>
      <c r="D278" s="1">
        <v>4.0</v>
      </c>
      <c r="E278" s="1">
        <v>5.0</v>
      </c>
      <c r="F278" s="1">
        <v>42800.0</v>
      </c>
    </row>
    <row r="279">
      <c r="A279" s="1" t="s">
        <v>639</v>
      </c>
      <c r="B279" s="1" t="s">
        <v>640</v>
      </c>
      <c r="C279" s="15">
        <f>+36302297431</f>
        <v>36302297431</v>
      </c>
      <c r="D279" s="1">
        <v>5.0</v>
      </c>
      <c r="E279" s="1">
        <v>5.0</v>
      </c>
      <c r="F279" s="1">
        <v>58200.0</v>
      </c>
    </row>
    <row r="280">
      <c r="A280" s="1" t="s">
        <v>641</v>
      </c>
      <c r="B280" s="1" t="s">
        <v>642</v>
      </c>
      <c r="C280" s="15">
        <f>+36202227546</f>
        <v>36202227546</v>
      </c>
      <c r="D280" s="1">
        <v>5.0</v>
      </c>
      <c r="E280" s="1">
        <v>5.0</v>
      </c>
      <c r="F280" s="1">
        <v>51400.0</v>
      </c>
    </row>
    <row r="281">
      <c r="A281" s="1" t="s">
        <v>643</v>
      </c>
      <c r="B281" s="1" t="s">
        <v>644</v>
      </c>
      <c r="C281" s="15">
        <f>+36309827246</f>
        <v>36309827246</v>
      </c>
      <c r="D281" s="1">
        <v>2.0</v>
      </c>
      <c r="E281" s="1">
        <v>4.0</v>
      </c>
      <c r="F281" s="1">
        <v>47000.0</v>
      </c>
    </row>
    <row r="282">
      <c r="A282" s="1" t="s">
        <v>645</v>
      </c>
      <c r="B282" s="1" t="s">
        <v>646</v>
      </c>
      <c r="C282" s="15">
        <f>+36204337671</f>
        <v>36204337671</v>
      </c>
      <c r="D282" s="1">
        <v>4.0</v>
      </c>
      <c r="E282" s="1">
        <v>4.0</v>
      </c>
      <c r="F282" s="1">
        <v>51100.0</v>
      </c>
    </row>
    <row r="283">
      <c r="A283" s="1" t="s">
        <v>647</v>
      </c>
      <c r="B283" s="1" t="s">
        <v>648</v>
      </c>
      <c r="C283" s="15">
        <f>+36202171521</f>
        <v>36202171521</v>
      </c>
      <c r="D283" s="1">
        <v>3.0</v>
      </c>
      <c r="E283" s="1">
        <v>4.0</v>
      </c>
      <c r="F283" s="1">
        <v>31400.0</v>
      </c>
    </row>
    <row r="284">
      <c r="A284" s="1" t="s">
        <v>649</v>
      </c>
      <c r="B284" s="1" t="s">
        <v>650</v>
      </c>
      <c r="C284" s="15">
        <f>+36301947644</f>
        <v>36301947644</v>
      </c>
      <c r="D284" s="1">
        <v>3.0</v>
      </c>
      <c r="E284" s="1">
        <v>4.0</v>
      </c>
      <c r="F284" s="1">
        <v>36800.0</v>
      </c>
    </row>
    <row r="285">
      <c r="A285" s="1" t="s">
        <v>651</v>
      </c>
      <c r="B285" s="1" t="s">
        <v>652</v>
      </c>
      <c r="C285" s="15">
        <f>+36203794853</f>
        <v>36203794853</v>
      </c>
      <c r="D285" s="1">
        <v>4.0</v>
      </c>
      <c r="E285" s="1">
        <v>4.0</v>
      </c>
      <c r="F285" s="1">
        <v>35800.0</v>
      </c>
    </row>
    <row r="286">
      <c r="A286" s="1" t="s">
        <v>653</v>
      </c>
      <c r="B286" s="1" t="s">
        <v>654</v>
      </c>
      <c r="C286" s="15">
        <f>+36704296800</f>
        <v>36704296800</v>
      </c>
      <c r="D286" s="1">
        <v>4.0</v>
      </c>
      <c r="E286" s="1">
        <v>4.0</v>
      </c>
      <c r="F286" s="1">
        <v>39600.0</v>
      </c>
    </row>
    <row r="287">
      <c r="A287" s="1" t="s">
        <v>655</v>
      </c>
      <c r="B287" s="1" t="s">
        <v>656</v>
      </c>
      <c r="C287" s="15">
        <f>+36309303967</f>
        <v>36309303967</v>
      </c>
      <c r="D287" s="1">
        <v>2.0</v>
      </c>
      <c r="E287" s="1">
        <v>4.0</v>
      </c>
      <c r="F287" s="1">
        <v>61000.0</v>
      </c>
    </row>
    <row r="288">
      <c r="A288" s="1" t="s">
        <v>657</v>
      </c>
      <c r="B288" s="1" t="s">
        <v>658</v>
      </c>
      <c r="C288" s="15">
        <f>+36709496080</f>
        <v>36709496080</v>
      </c>
      <c r="D288" s="1">
        <v>6.0</v>
      </c>
      <c r="E288" s="1">
        <v>4.0</v>
      </c>
      <c r="F288" s="1">
        <v>31700.0</v>
      </c>
    </row>
    <row r="289">
      <c r="A289" s="1" t="s">
        <v>659</v>
      </c>
      <c r="B289" s="1" t="s">
        <v>660</v>
      </c>
      <c r="C289" s="15">
        <f>+36202551055</f>
        <v>36202551055</v>
      </c>
      <c r="D289" s="1">
        <v>4.0</v>
      </c>
      <c r="E289" s="1">
        <v>4.0</v>
      </c>
      <c r="F289" s="1">
        <v>41000.0</v>
      </c>
    </row>
    <row r="290">
      <c r="A290" s="1" t="s">
        <v>661</v>
      </c>
      <c r="B290" s="1" t="s">
        <v>662</v>
      </c>
      <c r="C290" s="15">
        <f>+36209491586</f>
        <v>36209491586</v>
      </c>
      <c r="D290" s="1">
        <v>4.0</v>
      </c>
      <c r="E290" s="1">
        <v>4.0</v>
      </c>
      <c r="F290" s="1">
        <v>40500.0</v>
      </c>
    </row>
    <row r="291">
      <c r="A291" s="1" t="s">
        <v>663</v>
      </c>
      <c r="B291" s="1" t="s">
        <v>664</v>
      </c>
      <c r="C291" s="15">
        <f>+36302678455</f>
        <v>36302678455</v>
      </c>
      <c r="D291" s="1">
        <v>4.0</v>
      </c>
      <c r="E291" s="1">
        <v>4.0</v>
      </c>
      <c r="F291" s="1">
        <v>70600.0</v>
      </c>
    </row>
    <row r="292">
      <c r="A292" s="1" t="s">
        <v>665</v>
      </c>
      <c r="B292" s="1" t="s">
        <v>666</v>
      </c>
      <c r="C292" s="15">
        <f>+36706302464</f>
        <v>36706302464</v>
      </c>
      <c r="D292" s="1">
        <v>3.0</v>
      </c>
      <c r="E292" s="1">
        <v>4.0</v>
      </c>
      <c r="F292" s="1">
        <v>37300.0</v>
      </c>
    </row>
    <row r="293">
      <c r="A293" s="1" t="s">
        <v>667</v>
      </c>
      <c r="B293" s="1" t="s">
        <v>668</v>
      </c>
      <c r="C293" s="15">
        <f>+36304525277</f>
        <v>36304525277</v>
      </c>
      <c r="D293" s="1">
        <v>4.0</v>
      </c>
      <c r="E293" s="1">
        <v>4.0</v>
      </c>
      <c r="F293" s="1">
        <v>39800.0</v>
      </c>
    </row>
    <row r="294">
      <c r="A294" s="1" t="s">
        <v>669</v>
      </c>
      <c r="B294" s="1" t="s">
        <v>670</v>
      </c>
      <c r="C294" s="15">
        <f>+36206676755</f>
        <v>36206676755</v>
      </c>
      <c r="D294" s="1">
        <v>3.0</v>
      </c>
      <c r="E294" s="1">
        <v>4.0</v>
      </c>
      <c r="F294" s="1">
        <v>34100.0</v>
      </c>
    </row>
    <row r="295">
      <c r="A295" s="1" t="s">
        <v>671</v>
      </c>
      <c r="B295" s="1" t="s">
        <v>672</v>
      </c>
      <c r="C295" s="15">
        <f>+36204363340</f>
        <v>36204363340</v>
      </c>
      <c r="D295" s="1">
        <v>5.0</v>
      </c>
      <c r="E295" s="1">
        <v>4.0</v>
      </c>
      <c r="F295" s="1">
        <v>97300.0</v>
      </c>
    </row>
    <row r="296">
      <c r="A296" s="1" t="s">
        <v>673</v>
      </c>
      <c r="B296" s="1" t="s">
        <v>674</v>
      </c>
      <c r="C296" s="15">
        <f>+36302881758</f>
        <v>36302881758</v>
      </c>
      <c r="D296" s="1">
        <v>3.0</v>
      </c>
      <c r="E296" s="1">
        <v>4.0</v>
      </c>
      <c r="F296" s="1">
        <v>33000.0</v>
      </c>
    </row>
    <row r="297">
      <c r="A297" s="1" t="s">
        <v>675</v>
      </c>
      <c r="B297" s="1" t="s">
        <v>676</v>
      </c>
      <c r="C297" s="15">
        <f>+36703209654</f>
        <v>36703209654</v>
      </c>
      <c r="D297" s="1">
        <v>4.0</v>
      </c>
      <c r="E297" s="1">
        <v>4.0</v>
      </c>
      <c r="F297" s="1">
        <v>30000.0</v>
      </c>
    </row>
    <row r="298">
      <c r="A298" s="1" t="s">
        <v>677</v>
      </c>
      <c r="B298" s="1" t="s">
        <v>678</v>
      </c>
      <c r="C298" s="15">
        <f>+36706100918</f>
        <v>36706100918</v>
      </c>
      <c r="D298" s="1">
        <v>2.0</v>
      </c>
      <c r="E298" s="1">
        <v>4.0</v>
      </c>
      <c r="F298" s="1">
        <v>50700.0</v>
      </c>
    </row>
    <row r="299">
      <c r="A299" s="1" t="s">
        <v>679</v>
      </c>
      <c r="B299" s="1" t="s">
        <v>680</v>
      </c>
      <c r="C299" s="15">
        <f>+36209504963</f>
        <v>36209504963</v>
      </c>
      <c r="D299" s="1">
        <v>6.0</v>
      </c>
      <c r="E299" s="1">
        <v>4.0</v>
      </c>
      <c r="F299" s="1">
        <v>21000.0</v>
      </c>
    </row>
    <row r="300">
      <c r="A300" s="1" t="s">
        <v>681</v>
      </c>
      <c r="B300" s="1" t="s">
        <v>682</v>
      </c>
      <c r="C300" s="15">
        <f>+36306164668</f>
        <v>36306164668</v>
      </c>
      <c r="D300" s="1">
        <v>4.0</v>
      </c>
      <c r="E300" s="1">
        <v>4.0</v>
      </c>
      <c r="F300" s="1">
        <v>39000.0</v>
      </c>
    </row>
    <row r="301">
      <c r="A301" s="1" t="s">
        <v>683</v>
      </c>
      <c r="B301" s="1" t="s">
        <v>684</v>
      </c>
      <c r="C301" s="15">
        <f>+36705700435</f>
        <v>36705700435</v>
      </c>
      <c r="D301" s="1">
        <v>2.0</v>
      </c>
      <c r="E301" s="1">
        <v>4.0</v>
      </c>
      <c r="F301" s="1">
        <v>34900.0</v>
      </c>
    </row>
    <row r="302">
      <c r="A302" s="1" t="s">
        <v>685</v>
      </c>
      <c r="B302" s="1" t="s">
        <v>686</v>
      </c>
      <c r="C302" s="15">
        <f>+36304136657</f>
        <v>36304136657</v>
      </c>
      <c r="D302" s="1">
        <v>5.0</v>
      </c>
      <c r="E302" s="1">
        <v>4.0</v>
      </c>
      <c r="F302" s="1">
        <v>21100.0</v>
      </c>
    </row>
    <row r="303">
      <c r="A303" s="1" t="s">
        <v>687</v>
      </c>
      <c r="B303" s="1" t="s">
        <v>688</v>
      </c>
      <c r="C303" s="15">
        <f>+36203126675</f>
        <v>36203126675</v>
      </c>
      <c r="D303" s="1">
        <v>4.0</v>
      </c>
      <c r="E303" s="1">
        <v>4.0</v>
      </c>
      <c r="F303" s="1">
        <v>65600.0</v>
      </c>
    </row>
    <row r="304">
      <c r="A304" s="1" t="s">
        <v>689</v>
      </c>
      <c r="B304" s="1" t="s">
        <v>690</v>
      </c>
      <c r="C304" s="15">
        <f>+36206674858</f>
        <v>36206674858</v>
      </c>
      <c r="D304" s="1">
        <v>4.0</v>
      </c>
      <c r="E304" s="1">
        <v>4.0</v>
      </c>
      <c r="F304" s="1">
        <v>30100.0</v>
      </c>
    </row>
    <row r="305">
      <c r="A305" s="1" t="s">
        <v>691</v>
      </c>
      <c r="B305" s="1" t="s">
        <v>692</v>
      </c>
      <c r="C305" s="15">
        <f>+36205308376</f>
        <v>36205308376</v>
      </c>
      <c r="D305" s="1">
        <v>3.0</v>
      </c>
      <c r="E305" s="1">
        <v>4.0</v>
      </c>
      <c r="F305" s="1">
        <v>45400.0</v>
      </c>
    </row>
    <row r="306">
      <c r="A306" s="1" t="s">
        <v>693</v>
      </c>
      <c r="B306" s="1" t="s">
        <v>694</v>
      </c>
      <c r="C306" s="15">
        <f>+36308208203</f>
        <v>36308208203</v>
      </c>
      <c r="D306" s="1">
        <v>3.0</v>
      </c>
      <c r="E306" s="1">
        <v>4.0</v>
      </c>
      <c r="F306" s="1">
        <v>43600.0</v>
      </c>
    </row>
    <row r="307">
      <c r="A307" s="1" t="s">
        <v>695</v>
      </c>
      <c r="B307" s="1" t="s">
        <v>696</v>
      </c>
      <c r="C307" s="15">
        <f>+36702613583</f>
        <v>36702613583</v>
      </c>
      <c r="D307" s="1">
        <v>3.0</v>
      </c>
      <c r="E307" s="1">
        <v>4.0</v>
      </c>
      <c r="F307" s="1">
        <v>38100.0</v>
      </c>
    </row>
    <row r="308">
      <c r="A308" s="1" t="s">
        <v>697</v>
      </c>
      <c r="B308" s="1" t="s">
        <v>698</v>
      </c>
      <c r="C308" s="15">
        <f>+36301084539</f>
        <v>36301084539</v>
      </c>
      <c r="D308" s="1">
        <v>4.0</v>
      </c>
      <c r="E308" s="1">
        <v>4.0</v>
      </c>
      <c r="F308" s="1">
        <v>68800.0</v>
      </c>
    </row>
    <row r="309">
      <c r="A309" s="1" t="s">
        <v>699</v>
      </c>
      <c r="B309" s="1" t="s">
        <v>700</v>
      </c>
      <c r="C309" s="15">
        <f>+36203917295</f>
        <v>36203917295</v>
      </c>
      <c r="D309" s="1">
        <v>4.0</v>
      </c>
      <c r="E309" s="1">
        <v>4.0</v>
      </c>
      <c r="F309" s="1">
        <v>32600.0</v>
      </c>
    </row>
    <row r="310">
      <c r="A310" s="1" t="s">
        <v>701</v>
      </c>
      <c r="B310" s="1" t="s">
        <v>702</v>
      </c>
      <c r="C310" s="15">
        <f>+36204798806</f>
        <v>36204798806</v>
      </c>
      <c r="D310" s="1">
        <v>4.0</v>
      </c>
      <c r="E310" s="1">
        <v>4.0</v>
      </c>
      <c r="F310" s="1">
        <v>23200.0</v>
      </c>
    </row>
    <row r="311">
      <c r="A311" s="1" t="s">
        <v>703</v>
      </c>
      <c r="B311" s="1" t="s">
        <v>704</v>
      </c>
      <c r="C311" s="15">
        <f>+36308429474</f>
        <v>36308429474</v>
      </c>
      <c r="D311" s="1">
        <v>2.0</v>
      </c>
      <c r="E311" s="1">
        <v>4.0</v>
      </c>
      <c r="F311" s="1">
        <v>29700.0</v>
      </c>
    </row>
    <row r="312">
      <c r="A312" s="1" t="s">
        <v>705</v>
      </c>
      <c r="B312" s="1" t="s">
        <v>706</v>
      </c>
      <c r="C312" s="15">
        <f>+36209708425</f>
        <v>36209708425</v>
      </c>
      <c r="D312" s="1">
        <v>2.0</v>
      </c>
      <c r="E312" s="1">
        <v>4.0</v>
      </c>
      <c r="F312" s="1">
        <v>75900.0</v>
      </c>
    </row>
    <row r="313">
      <c r="A313" s="1" t="s">
        <v>707</v>
      </c>
      <c r="B313" s="1" t="s">
        <v>708</v>
      </c>
      <c r="C313" s="15">
        <f>+36303332789</f>
        <v>36303332789</v>
      </c>
      <c r="D313" s="1">
        <v>3.0</v>
      </c>
      <c r="E313" s="1">
        <v>4.0</v>
      </c>
      <c r="F313" s="1">
        <v>48400.0</v>
      </c>
    </row>
    <row r="314">
      <c r="A314" s="1" t="s">
        <v>709</v>
      </c>
      <c r="B314" s="1" t="s">
        <v>710</v>
      </c>
      <c r="C314" s="15">
        <f>+36302064043</f>
        <v>36302064043</v>
      </c>
      <c r="D314" s="1">
        <v>3.0</v>
      </c>
      <c r="E314" s="1">
        <v>4.0</v>
      </c>
      <c r="F314" s="1">
        <v>23700.0</v>
      </c>
    </row>
    <row r="315">
      <c r="A315" s="1" t="s">
        <v>711</v>
      </c>
      <c r="B315" s="1" t="s">
        <v>712</v>
      </c>
      <c r="C315" s="15">
        <f>+36708830025</f>
        <v>36708830025</v>
      </c>
      <c r="D315" s="1">
        <v>4.0</v>
      </c>
      <c r="E315" s="1">
        <v>4.0</v>
      </c>
      <c r="F315" s="1">
        <v>47000.0</v>
      </c>
    </row>
    <row r="316">
      <c r="A316" s="1" t="s">
        <v>713</v>
      </c>
      <c r="B316" s="1" t="s">
        <v>714</v>
      </c>
      <c r="C316" s="15">
        <f>+36703739099</f>
        <v>36703739099</v>
      </c>
      <c r="D316" s="1">
        <v>3.0</v>
      </c>
      <c r="E316" s="1">
        <v>4.0</v>
      </c>
      <c r="F316" s="1">
        <v>106400.0</v>
      </c>
    </row>
    <row r="317">
      <c r="A317" s="1" t="s">
        <v>715</v>
      </c>
      <c r="B317" s="1" t="s">
        <v>716</v>
      </c>
      <c r="C317" s="15">
        <f>+36302375136</f>
        <v>36302375136</v>
      </c>
      <c r="D317" s="1">
        <v>4.0</v>
      </c>
      <c r="E317" s="1">
        <v>4.0</v>
      </c>
      <c r="F317" s="1">
        <v>57100.0</v>
      </c>
    </row>
    <row r="318">
      <c r="A318" s="1" t="s">
        <v>717</v>
      </c>
      <c r="B318" s="1" t="s">
        <v>718</v>
      </c>
      <c r="C318" s="15">
        <f>+36204405048</f>
        <v>36204405048</v>
      </c>
      <c r="D318" s="1">
        <v>6.0</v>
      </c>
      <c r="E318" s="1">
        <v>4.0</v>
      </c>
      <c r="F318" s="1">
        <v>49100.0</v>
      </c>
    </row>
    <row r="319">
      <c r="A319" s="1" t="s">
        <v>719</v>
      </c>
      <c r="B319" s="1" t="s">
        <v>720</v>
      </c>
      <c r="C319" s="15">
        <f>+436608766249</f>
        <v>436608766249</v>
      </c>
      <c r="D319" s="1">
        <v>1.0</v>
      </c>
      <c r="E319" s="1">
        <v>4.0</v>
      </c>
      <c r="F319" s="1">
        <v>52000.0</v>
      </c>
    </row>
    <row r="320">
      <c r="A320" s="1" t="s">
        <v>721</v>
      </c>
      <c r="B320" s="1" t="s">
        <v>722</v>
      </c>
      <c r="C320" s="15">
        <f>+385976376251</f>
        <v>385976376251</v>
      </c>
      <c r="D320" s="1">
        <v>4.0</v>
      </c>
      <c r="E320" s="1">
        <v>4.0</v>
      </c>
      <c r="F320" s="1">
        <v>46700.0</v>
      </c>
    </row>
    <row r="321">
      <c r="A321" s="1" t="s">
        <v>723</v>
      </c>
      <c r="B321" s="1" t="s">
        <v>724</v>
      </c>
      <c r="C321" s="15">
        <f>+36308635196</f>
        <v>36308635196</v>
      </c>
      <c r="D321" s="1">
        <v>3.0</v>
      </c>
      <c r="E321" s="1">
        <v>4.0</v>
      </c>
      <c r="F321" s="1">
        <v>50300.0</v>
      </c>
    </row>
    <row r="322">
      <c r="A322" s="1" t="s">
        <v>725</v>
      </c>
      <c r="B322" s="1" t="s">
        <v>726</v>
      </c>
      <c r="C322" s="15">
        <f>+36706758116</f>
        <v>36706758116</v>
      </c>
      <c r="D322" s="1">
        <v>2.0</v>
      </c>
      <c r="E322" s="1">
        <v>4.0</v>
      </c>
      <c r="F322" s="1">
        <v>34200.0</v>
      </c>
    </row>
    <row r="323">
      <c r="A323" s="1" t="s">
        <v>727</v>
      </c>
      <c r="B323" s="1" t="s">
        <v>728</v>
      </c>
      <c r="C323" s="15">
        <f>+36306856608</f>
        <v>36306856608</v>
      </c>
      <c r="D323" s="1">
        <v>5.0</v>
      </c>
      <c r="E323" s="1">
        <v>4.0</v>
      </c>
      <c r="F323" s="1">
        <v>71300.0</v>
      </c>
    </row>
    <row r="324">
      <c r="A324" s="1" t="s">
        <v>729</v>
      </c>
      <c r="B324" s="1" t="s">
        <v>730</v>
      </c>
      <c r="C324" s="15">
        <f>+36703392071</f>
        <v>36703392071</v>
      </c>
      <c r="D324" s="1">
        <v>4.0</v>
      </c>
      <c r="E324" s="1">
        <v>4.0</v>
      </c>
      <c r="F324" s="1">
        <v>36500.0</v>
      </c>
    </row>
    <row r="325">
      <c r="A325" s="1" t="s">
        <v>731</v>
      </c>
      <c r="B325" s="1" t="s">
        <v>732</v>
      </c>
      <c r="C325" s="15">
        <f>+36705668300</f>
        <v>36705668300</v>
      </c>
      <c r="D325" s="1">
        <v>2.0</v>
      </c>
      <c r="E325" s="1">
        <v>4.0</v>
      </c>
      <c r="F325" s="1">
        <v>32900.0</v>
      </c>
    </row>
    <row r="326">
      <c r="A326" s="1" t="s">
        <v>733</v>
      </c>
      <c r="B326" s="1" t="s">
        <v>734</v>
      </c>
      <c r="C326" s="15">
        <f>+36704282360</f>
        <v>36704282360</v>
      </c>
      <c r="D326" s="1">
        <v>4.0</v>
      </c>
      <c r="E326" s="1">
        <v>4.0</v>
      </c>
      <c r="F326" s="1">
        <v>41800.0</v>
      </c>
    </row>
    <row r="327">
      <c r="A327" s="1" t="s">
        <v>735</v>
      </c>
      <c r="B327" s="1" t="s">
        <v>736</v>
      </c>
      <c r="C327" s="15">
        <f>+36704253190</f>
        <v>36704253190</v>
      </c>
      <c r="D327" s="1">
        <v>4.0</v>
      </c>
      <c r="E327" s="1">
        <v>4.0</v>
      </c>
      <c r="F327" s="1">
        <v>29000.0</v>
      </c>
    </row>
    <row r="328">
      <c r="A328" s="1" t="s">
        <v>737</v>
      </c>
      <c r="B328" s="1" t="s">
        <v>738</v>
      </c>
      <c r="C328" s="15">
        <f>+36202038017</f>
        <v>36202038017</v>
      </c>
      <c r="D328" s="1">
        <v>4.0</v>
      </c>
      <c r="E328" s="1">
        <v>4.0</v>
      </c>
      <c r="F328" s="1">
        <v>53700.0</v>
      </c>
    </row>
    <row r="329">
      <c r="A329" s="1" t="s">
        <v>739</v>
      </c>
      <c r="B329" s="1" t="s">
        <v>740</v>
      </c>
      <c r="C329" s="15">
        <f>+36204662140</f>
        <v>36204662140</v>
      </c>
      <c r="D329" s="1">
        <v>4.0</v>
      </c>
      <c r="E329" s="1">
        <v>4.0</v>
      </c>
      <c r="F329" s="1">
        <v>58200.0</v>
      </c>
    </row>
    <row r="330">
      <c r="A330" s="1" t="s">
        <v>741</v>
      </c>
      <c r="B330" s="1" t="s">
        <v>742</v>
      </c>
      <c r="C330" s="15">
        <f>+36704572606</f>
        <v>36704572606</v>
      </c>
      <c r="D330" s="1">
        <v>3.0</v>
      </c>
      <c r="E330" s="1">
        <v>4.0</v>
      </c>
      <c r="F330" s="1">
        <v>39600.0</v>
      </c>
    </row>
    <row r="331">
      <c r="A331" s="1" t="s">
        <v>743</v>
      </c>
      <c r="B331" s="1" t="s">
        <v>744</v>
      </c>
      <c r="C331" s="15">
        <f>+36304504310</f>
        <v>36304504310</v>
      </c>
      <c r="D331" s="1">
        <v>3.0</v>
      </c>
      <c r="E331" s="1">
        <v>4.0</v>
      </c>
      <c r="F331" s="1">
        <v>39000.0</v>
      </c>
    </row>
    <row r="332">
      <c r="A332" s="1" t="s">
        <v>745</v>
      </c>
      <c r="B332" s="1" t="s">
        <v>746</v>
      </c>
      <c r="C332" s="15">
        <f>+36309999800</f>
        <v>36309999800</v>
      </c>
      <c r="D332" s="1">
        <v>6.0</v>
      </c>
      <c r="E332" s="1">
        <v>4.0</v>
      </c>
      <c r="F332" s="1">
        <v>55100.0</v>
      </c>
    </row>
    <row r="333">
      <c r="A333" s="1" t="s">
        <v>747</v>
      </c>
      <c r="B333" s="1" t="s">
        <v>748</v>
      </c>
      <c r="C333" s="15">
        <f>+36706268775</f>
        <v>36706268775</v>
      </c>
      <c r="D333" s="1">
        <v>4.0</v>
      </c>
      <c r="E333" s="1">
        <v>4.0</v>
      </c>
      <c r="F333" s="1">
        <v>45200.0</v>
      </c>
    </row>
    <row r="334">
      <c r="A334" s="1" t="s">
        <v>749</v>
      </c>
      <c r="B334" s="1" t="s">
        <v>750</v>
      </c>
      <c r="C334" s="15">
        <f>+36209402789</f>
        <v>36209402789</v>
      </c>
      <c r="D334" s="1">
        <v>4.0</v>
      </c>
      <c r="E334" s="1">
        <v>4.0</v>
      </c>
      <c r="F334" s="1">
        <v>46700.0</v>
      </c>
    </row>
    <row r="335">
      <c r="A335" s="1" t="s">
        <v>751</v>
      </c>
      <c r="B335" s="1" t="s">
        <v>752</v>
      </c>
      <c r="C335" s="15">
        <f>+36307798204</f>
        <v>36307798204</v>
      </c>
      <c r="D335" s="1">
        <v>4.0</v>
      </c>
      <c r="E335" s="1">
        <v>4.0</v>
      </c>
      <c r="F335" s="1">
        <v>27500.0</v>
      </c>
    </row>
    <row r="336">
      <c r="A336" s="1" t="s">
        <v>753</v>
      </c>
      <c r="B336" s="1" t="s">
        <v>754</v>
      </c>
      <c r="C336" s="15">
        <f>+36204876163</f>
        <v>36204876163</v>
      </c>
      <c r="D336" s="1">
        <v>2.0</v>
      </c>
      <c r="E336" s="1">
        <v>4.0</v>
      </c>
      <c r="F336" s="1">
        <v>53200.0</v>
      </c>
    </row>
    <row r="337">
      <c r="A337" s="1" t="s">
        <v>755</v>
      </c>
      <c r="B337" s="1" t="s">
        <v>756</v>
      </c>
      <c r="C337" s="15">
        <f>+36304270770</f>
        <v>36304270770</v>
      </c>
      <c r="D337" s="1">
        <v>3.0</v>
      </c>
      <c r="E337" s="1">
        <v>4.0</v>
      </c>
      <c r="F337" s="1">
        <v>34700.0</v>
      </c>
    </row>
    <row r="338">
      <c r="A338" s="1" t="s">
        <v>757</v>
      </c>
      <c r="B338" s="1" t="s">
        <v>758</v>
      </c>
      <c r="C338" s="15">
        <f>+385919599830</f>
        <v>385919599830</v>
      </c>
      <c r="D338" s="1">
        <v>2.0</v>
      </c>
      <c r="E338" s="1">
        <v>4.0</v>
      </c>
      <c r="F338" s="1">
        <v>33200.0</v>
      </c>
    </row>
    <row r="339">
      <c r="A339" s="1" t="s">
        <v>759</v>
      </c>
      <c r="B339" s="1" t="s">
        <v>760</v>
      </c>
      <c r="C339" s="15">
        <f>+36209511707</f>
        <v>36209511707</v>
      </c>
      <c r="D339" s="1">
        <v>2.0</v>
      </c>
      <c r="E339" s="1">
        <v>4.0</v>
      </c>
      <c r="F339" s="1">
        <v>35800.0</v>
      </c>
    </row>
    <row r="340">
      <c r="A340" s="1" t="s">
        <v>761</v>
      </c>
      <c r="B340" s="1" t="s">
        <v>762</v>
      </c>
      <c r="C340" s="15">
        <f>+40757488353</f>
        <v>40757488353</v>
      </c>
      <c r="D340" s="1">
        <v>3.0</v>
      </c>
      <c r="E340" s="1">
        <v>4.0</v>
      </c>
      <c r="F340" s="1">
        <v>46700.0</v>
      </c>
    </row>
    <row r="341">
      <c r="A341" s="1" t="s">
        <v>763</v>
      </c>
      <c r="B341" s="1" t="s">
        <v>764</v>
      </c>
      <c r="C341" s="15">
        <f>+36303782977</f>
        <v>36303782977</v>
      </c>
      <c r="D341" s="1">
        <v>1.0</v>
      </c>
      <c r="E341" s="1">
        <v>4.0</v>
      </c>
      <c r="F341" s="1">
        <v>32000.0</v>
      </c>
    </row>
    <row r="342">
      <c r="A342" s="1" t="s">
        <v>765</v>
      </c>
      <c r="B342" s="1" t="s">
        <v>766</v>
      </c>
      <c r="C342" s="15">
        <f>+36308367495</f>
        <v>36308367495</v>
      </c>
      <c r="D342" s="1">
        <v>3.0</v>
      </c>
      <c r="E342" s="1">
        <v>4.0</v>
      </c>
      <c r="F342" s="1">
        <v>34500.0</v>
      </c>
    </row>
    <row r="343">
      <c r="A343" s="1" t="s">
        <v>767</v>
      </c>
      <c r="B343" s="1" t="s">
        <v>768</v>
      </c>
      <c r="C343" s="15">
        <f>+36703220620</f>
        <v>36703220620</v>
      </c>
      <c r="D343" s="1">
        <v>4.0</v>
      </c>
      <c r="E343" s="1">
        <v>4.0</v>
      </c>
      <c r="F343" s="1">
        <v>36900.0</v>
      </c>
    </row>
    <row r="344">
      <c r="A344" s="1" t="s">
        <v>769</v>
      </c>
      <c r="B344" s="1" t="s">
        <v>770</v>
      </c>
      <c r="C344" s="15">
        <f>+36306440501</f>
        <v>36306440501</v>
      </c>
      <c r="D344" s="1">
        <v>2.0</v>
      </c>
      <c r="E344" s="1">
        <v>4.0</v>
      </c>
      <c r="F344" s="1">
        <v>30600.0</v>
      </c>
    </row>
    <row r="345">
      <c r="A345" s="1" t="s">
        <v>771</v>
      </c>
      <c r="B345" s="1" t="s">
        <v>772</v>
      </c>
      <c r="C345" s="15">
        <f>+36307588740</f>
        <v>36307588740</v>
      </c>
      <c r="D345" s="1">
        <v>5.0</v>
      </c>
      <c r="E345" s="1">
        <v>4.0</v>
      </c>
      <c r="F345" s="1">
        <v>52500.0</v>
      </c>
    </row>
    <row r="346">
      <c r="A346" s="1" t="s">
        <v>773</v>
      </c>
      <c r="B346" s="1" t="s">
        <v>774</v>
      </c>
      <c r="C346" s="15">
        <f>+36209330258</f>
        <v>36209330258</v>
      </c>
      <c r="D346" s="1">
        <v>4.0</v>
      </c>
      <c r="E346" s="1">
        <v>4.0</v>
      </c>
      <c r="F346" s="1">
        <v>39800.0</v>
      </c>
    </row>
    <row r="347">
      <c r="A347" s="1" t="s">
        <v>775</v>
      </c>
      <c r="B347" s="1" t="s">
        <v>776</v>
      </c>
      <c r="C347" s="15">
        <f>+36704379614</f>
        <v>36704379614</v>
      </c>
      <c r="D347" s="1">
        <v>4.0</v>
      </c>
      <c r="E347" s="1">
        <v>4.0</v>
      </c>
      <c r="F347" s="1">
        <v>38300.0</v>
      </c>
    </row>
    <row r="348">
      <c r="A348" s="1" t="s">
        <v>777</v>
      </c>
      <c r="B348" s="1" t="s">
        <v>778</v>
      </c>
      <c r="C348" s="15">
        <f>+36704113784</f>
        <v>36704113784</v>
      </c>
      <c r="D348" s="1">
        <v>4.0</v>
      </c>
      <c r="E348" s="1">
        <v>4.0</v>
      </c>
      <c r="F348" s="1">
        <v>64900.0</v>
      </c>
    </row>
    <row r="349">
      <c r="A349" s="1" t="s">
        <v>779</v>
      </c>
      <c r="B349" s="1" t="s">
        <v>780</v>
      </c>
      <c r="C349" s="15">
        <f>+36309647667</f>
        <v>36309647667</v>
      </c>
      <c r="D349" s="1">
        <v>4.0</v>
      </c>
      <c r="E349" s="1">
        <v>4.0</v>
      </c>
      <c r="F349" s="1">
        <v>42300.0</v>
      </c>
    </row>
    <row r="350">
      <c r="A350" s="1" t="s">
        <v>781</v>
      </c>
      <c r="B350" s="1" t="s">
        <v>782</v>
      </c>
      <c r="C350" s="15">
        <f>+36309862227</f>
        <v>36309862227</v>
      </c>
      <c r="D350" s="1">
        <v>4.0</v>
      </c>
      <c r="E350" s="1">
        <v>4.0</v>
      </c>
      <c r="F350" s="1">
        <v>28800.0</v>
      </c>
    </row>
    <row r="351">
      <c r="A351" s="1" t="s">
        <v>783</v>
      </c>
      <c r="B351" s="1" t="s">
        <v>784</v>
      </c>
      <c r="C351" s="15">
        <f>+36304195690</f>
        <v>36304195690</v>
      </c>
      <c r="D351" s="1">
        <v>4.0</v>
      </c>
      <c r="E351" s="1">
        <v>4.0</v>
      </c>
      <c r="F351" s="1">
        <v>31000.0</v>
      </c>
    </row>
    <row r="352">
      <c r="A352" s="1" t="s">
        <v>785</v>
      </c>
      <c r="B352" s="1" t="s">
        <v>786</v>
      </c>
      <c r="C352" s="15">
        <f>+36202569955</f>
        <v>36202569955</v>
      </c>
      <c r="D352" s="1">
        <v>4.0</v>
      </c>
      <c r="E352" s="1">
        <v>4.0</v>
      </c>
      <c r="F352" s="1">
        <v>57100.0</v>
      </c>
    </row>
    <row r="353">
      <c r="A353" s="1" t="s">
        <v>787</v>
      </c>
      <c r="B353" s="1" t="s">
        <v>788</v>
      </c>
      <c r="C353" s="15">
        <f>+36305181251</f>
        <v>36305181251</v>
      </c>
      <c r="D353" s="1">
        <v>4.0</v>
      </c>
      <c r="E353" s="1">
        <v>4.0</v>
      </c>
      <c r="F353" s="1">
        <v>37700.0</v>
      </c>
    </row>
    <row r="354">
      <c r="A354" s="1" t="s">
        <v>789</v>
      </c>
      <c r="B354" s="1" t="s">
        <v>790</v>
      </c>
      <c r="C354" s="15">
        <f>+36304004443</f>
        <v>36304004443</v>
      </c>
      <c r="D354" s="1">
        <v>4.0</v>
      </c>
      <c r="E354" s="1">
        <v>4.0</v>
      </c>
      <c r="F354" s="1">
        <v>55700.0</v>
      </c>
    </row>
    <row r="355">
      <c r="A355" s="1" t="s">
        <v>791</v>
      </c>
      <c r="B355" s="1" t="s">
        <v>792</v>
      </c>
      <c r="C355" s="15">
        <f>+36703808515</f>
        <v>36703808515</v>
      </c>
      <c r="D355" s="1">
        <v>3.0</v>
      </c>
      <c r="E355" s="1">
        <v>4.0</v>
      </c>
      <c r="F355" s="1">
        <v>40900.0</v>
      </c>
    </row>
    <row r="356">
      <c r="A356" s="1" t="s">
        <v>793</v>
      </c>
      <c r="B356" s="1" t="s">
        <v>794</v>
      </c>
      <c r="C356" s="15">
        <f>+36302198834</f>
        <v>36302198834</v>
      </c>
      <c r="D356" s="1">
        <v>3.0</v>
      </c>
      <c r="E356" s="1">
        <v>4.0</v>
      </c>
      <c r="F356" s="1">
        <v>31400.0</v>
      </c>
    </row>
    <row r="357">
      <c r="A357" s="1" t="s">
        <v>795</v>
      </c>
      <c r="B357" s="1" t="s">
        <v>796</v>
      </c>
      <c r="C357" s="15">
        <f>+36309903819</f>
        <v>36309903819</v>
      </c>
      <c r="D357" s="1">
        <v>4.0</v>
      </c>
      <c r="E357" s="1">
        <v>4.0</v>
      </c>
      <c r="F357" s="1">
        <v>44200.0</v>
      </c>
    </row>
    <row r="358">
      <c r="A358" s="1" t="s">
        <v>797</v>
      </c>
      <c r="B358" s="1" t="s">
        <v>798</v>
      </c>
      <c r="C358" s="15">
        <f>+36307247441</f>
        <v>36307247441</v>
      </c>
      <c r="D358" s="1">
        <v>4.0</v>
      </c>
      <c r="E358" s="1">
        <v>4.0</v>
      </c>
      <c r="F358" s="1">
        <v>62400.0</v>
      </c>
    </row>
    <row r="359">
      <c r="A359" s="1" t="s">
        <v>799</v>
      </c>
      <c r="B359" s="1" t="s">
        <v>800</v>
      </c>
      <c r="C359" s="15">
        <f>+36204172143</f>
        <v>36204172143</v>
      </c>
      <c r="D359" s="1">
        <v>5.0</v>
      </c>
      <c r="E359" s="1">
        <v>4.0</v>
      </c>
      <c r="F359" s="1">
        <v>36400.0</v>
      </c>
    </row>
    <row r="360">
      <c r="A360" s="1" t="s">
        <v>801</v>
      </c>
      <c r="B360" s="1" t="s">
        <v>802</v>
      </c>
      <c r="C360" s="15">
        <f>+36305048008</f>
        <v>36305048008</v>
      </c>
      <c r="D360" s="1">
        <v>4.0</v>
      </c>
      <c r="E360" s="1">
        <v>4.0</v>
      </c>
      <c r="F360" s="1">
        <v>39800.0</v>
      </c>
    </row>
    <row r="361">
      <c r="A361" s="1" t="s">
        <v>803</v>
      </c>
      <c r="B361" s="1" t="s">
        <v>804</v>
      </c>
      <c r="C361" s="15">
        <f>+36702025700</f>
        <v>36702025700</v>
      </c>
      <c r="D361" s="1">
        <v>5.0</v>
      </c>
      <c r="E361" s="1">
        <v>4.0</v>
      </c>
      <c r="F361" s="1">
        <v>63400.0</v>
      </c>
    </row>
    <row r="362">
      <c r="A362" s="1" t="s">
        <v>805</v>
      </c>
      <c r="B362" s="1" t="s">
        <v>806</v>
      </c>
      <c r="C362" s="15">
        <f>+36203318220</f>
        <v>36203318220</v>
      </c>
      <c r="D362" s="1">
        <v>3.0</v>
      </c>
      <c r="E362" s="1">
        <v>4.0</v>
      </c>
      <c r="F362" s="1">
        <v>37700.0</v>
      </c>
    </row>
    <row r="363">
      <c r="A363" s="1" t="s">
        <v>807</v>
      </c>
      <c r="B363" s="1" t="s">
        <v>808</v>
      </c>
      <c r="C363" s="15">
        <f>+36309146764</f>
        <v>36309146764</v>
      </c>
      <c r="D363" s="1">
        <v>5.0</v>
      </c>
      <c r="E363" s="1">
        <v>4.0</v>
      </c>
      <c r="F363" s="1">
        <v>65900.0</v>
      </c>
    </row>
    <row r="364">
      <c r="A364" s="1" t="s">
        <v>809</v>
      </c>
      <c r="B364" s="1" t="s">
        <v>810</v>
      </c>
      <c r="C364" s="15">
        <f>+36205074714</f>
        <v>36205074714</v>
      </c>
      <c r="D364" s="1">
        <v>3.0</v>
      </c>
      <c r="E364" s="1">
        <v>4.0</v>
      </c>
      <c r="F364" s="1">
        <v>38500.0</v>
      </c>
    </row>
    <row r="365">
      <c r="A365" s="1" t="s">
        <v>811</v>
      </c>
      <c r="B365" s="1" t="s">
        <v>812</v>
      </c>
      <c r="C365" s="15">
        <f>+36309412087</f>
        <v>36309412087</v>
      </c>
      <c r="D365" s="1">
        <v>4.0</v>
      </c>
      <c r="E365" s="1">
        <v>4.0</v>
      </c>
      <c r="F365" s="1">
        <v>41400.0</v>
      </c>
    </row>
    <row r="366">
      <c r="A366" s="1" t="s">
        <v>813</v>
      </c>
      <c r="B366" s="1" t="s">
        <v>814</v>
      </c>
      <c r="C366" s="15">
        <f>+36306951920</f>
        <v>36306951920</v>
      </c>
      <c r="D366" s="1">
        <v>3.0</v>
      </c>
      <c r="E366" s="1">
        <v>4.0</v>
      </c>
      <c r="F366" s="1">
        <v>38100.0</v>
      </c>
    </row>
    <row r="367">
      <c r="A367" s="1" t="s">
        <v>815</v>
      </c>
      <c r="B367" s="1" t="s">
        <v>816</v>
      </c>
      <c r="C367" s="15">
        <f>+36303387744</f>
        <v>36303387744</v>
      </c>
      <c r="D367" s="1">
        <v>4.0</v>
      </c>
      <c r="E367" s="1">
        <v>4.0</v>
      </c>
      <c r="F367" s="1">
        <v>36700.0</v>
      </c>
    </row>
    <row r="368">
      <c r="A368" s="1" t="s">
        <v>817</v>
      </c>
      <c r="B368" s="1" t="s">
        <v>818</v>
      </c>
      <c r="C368" s="15">
        <f>+36209468402</f>
        <v>36209468402</v>
      </c>
      <c r="D368" s="1">
        <v>5.0</v>
      </c>
      <c r="E368" s="1">
        <v>4.0</v>
      </c>
      <c r="F368" s="1">
        <v>37600.0</v>
      </c>
    </row>
    <row r="369">
      <c r="A369" s="1" t="s">
        <v>819</v>
      </c>
      <c r="B369" s="1" t="s">
        <v>820</v>
      </c>
      <c r="C369" s="15">
        <f>+36209165841</f>
        <v>36209165841</v>
      </c>
      <c r="D369" s="1">
        <v>4.0</v>
      </c>
      <c r="E369" s="1">
        <v>4.0</v>
      </c>
      <c r="F369" s="1">
        <v>46200.0</v>
      </c>
    </row>
    <row r="370">
      <c r="A370" s="1" t="s">
        <v>821</v>
      </c>
      <c r="B370" s="1" t="s">
        <v>822</v>
      </c>
      <c r="C370" s="15">
        <f>+36706092730</f>
        <v>36706092730</v>
      </c>
      <c r="D370" s="1">
        <v>4.0</v>
      </c>
      <c r="E370" s="1">
        <v>4.0</v>
      </c>
      <c r="F370" s="1">
        <v>27600.0</v>
      </c>
    </row>
    <row r="371">
      <c r="A371" s="1" t="s">
        <v>823</v>
      </c>
      <c r="B371" s="1" t="s">
        <v>824</v>
      </c>
      <c r="C371" s="15">
        <f>+36305827780</f>
        <v>36305827780</v>
      </c>
      <c r="D371" s="1">
        <v>2.0</v>
      </c>
      <c r="E371" s="1">
        <v>4.0</v>
      </c>
      <c r="F371" s="1">
        <v>32200.0</v>
      </c>
    </row>
    <row r="372">
      <c r="A372" s="1" t="s">
        <v>825</v>
      </c>
      <c r="B372" s="1" t="s">
        <v>826</v>
      </c>
      <c r="C372" s="15">
        <f>+36205429360</f>
        <v>36205429360</v>
      </c>
      <c r="D372" s="1">
        <v>4.0</v>
      </c>
      <c r="E372" s="1">
        <v>4.0</v>
      </c>
      <c r="F372" s="1">
        <v>34300.0</v>
      </c>
    </row>
    <row r="373">
      <c r="A373" s="1" t="s">
        <v>827</v>
      </c>
      <c r="B373" s="1" t="s">
        <v>828</v>
      </c>
      <c r="C373" s="15">
        <f>+36302590313</f>
        <v>36302590313</v>
      </c>
      <c r="D373" s="1">
        <v>4.0</v>
      </c>
      <c r="E373" s="1">
        <v>4.0</v>
      </c>
      <c r="F373" s="1">
        <v>57700.0</v>
      </c>
    </row>
    <row r="374">
      <c r="A374" s="1" t="s">
        <v>829</v>
      </c>
      <c r="B374" s="1" t="s">
        <v>830</v>
      </c>
      <c r="C374" s="15">
        <f>+36306388088</f>
        <v>36306388088</v>
      </c>
      <c r="D374" s="1">
        <v>3.0</v>
      </c>
      <c r="E374" s="1">
        <v>4.0</v>
      </c>
      <c r="F374" s="1">
        <v>55900.0</v>
      </c>
    </row>
    <row r="375">
      <c r="A375" s="1" t="s">
        <v>831</v>
      </c>
      <c r="B375" s="1" t="s">
        <v>832</v>
      </c>
      <c r="C375" s="15">
        <f>+36703663301</f>
        <v>36703663301</v>
      </c>
      <c r="D375" s="1">
        <v>3.0</v>
      </c>
      <c r="E375" s="1">
        <v>4.0</v>
      </c>
      <c r="F375" s="1">
        <v>38000.0</v>
      </c>
    </row>
    <row r="376">
      <c r="A376" s="1" t="s">
        <v>833</v>
      </c>
      <c r="B376" s="1" t="s">
        <v>834</v>
      </c>
      <c r="C376" s="15">
        <f>+36303474434</f>
        <v>36303474434</v>
      </c>
      <c r="D376" s="1">
        <v>4.0</v>
      </c>
      <c r="E376" s="1">
        <v>4.0</v>
      </c>
      <c r="F376" s="1">
        <v>48900.0</v>
      </c>
    </row>
    <row r="377">
      <c r="A377" s="1" t="s">
        <v>835</v>
      </c>
      <c r="B377" s="1" t="s">
        <v>836</v>
      </c>
      <c r="C377" s="15">
        <f>+36205986163</f>
        <v>36205986163</v>
      </c>
      <c r="D377" s="1">
        <v>7.0</v>
      </c>
      <c r="E377" s="1">
        <v>4.0</v>
      </c>
      <c r="F377" s="1">
        <v>39200.0</v>
      </c>
    </row>
    <row r="378">
      <c r="A378" s="1" t="s">
        <v>837</v>
      </c>
      <c r="B378" s="1" t="s">
        <v>838</v>
      </c>
      <c r="C378" s="15">
        <f>+36303350469</f>
        <v>36303350469</v>
      </c>
      <c r="D378" s="1">
        <v>4.0</v>
      </c>
      <c r="E378" s="1">
        <v>4.0</v>
      </c>
      <c r="F378" s="1">
        <v>30400.0</v>
      </c>
    </row>
    <row r="379">
      <c r="A379" s="1" t="s">
        <v>839</v>
      </c>
      <c r="B379" s="1" t="s">
        <v>840</v>
      </c>
      <c r="C379" s="15">
        <f>+36301626268</f>
        <v>36301626268</v>
      </c>
      <c r="D379" s="1">
        <v>3.0</v>
      </c>
      <c r="E379" s="1">
        <v>4.0</v>
      </c>
      <c r="F379" s="1">
        <v>17900.0</v>
      </c>
    </row>
    <row r="380">
      <c r="A380" s="1" t="s">
        <v>841</v>
      </c>
      <c r="B380" s="1" t="s">
        <v>842</v>
      </c>
      <c r="C380" s="15">
        <f>+36303548762</f>
        <v>36303548762</v>
      </c>
      <c r="D380" s="1">
        <v>1.0</v>
      </c>
      <c r="E380" s="1">
        <v>4.0</v>
      </c>
      <c r="F380" s="1">
        <v>55200.0</v>
      </c>
    </row>
    <row r="381">
      <c r="A381" s="1" t="s">
        <v>843</v>
      </c>
      <c r="B381" s="1" t="s">
        <v>844</v>
      </c>
      <c r="C381" s="15">
        <f>+36704271737</f>
        <v>36704271737</v>
      </c>
      <c r="D381" s="1">
        <v>4.0</v>
      </c>
      <c r="E381" s="1">
        <v>4.0</v>
      </c>
      <c r="F381" s="1">
        <v>48100.0</v>
      </c>
    </row>
    <row r="382">
      <c r="A382" s="1" t="s">
        <v>845</v>
      </c>
      <c r="B382" s="1" t="s">
        <v>846</v>
      </c>
      <c r="C382" s="15">
        <f>+36203188481</f>
        <v>36203188481</v>
      </c>
      <c r="D382" s="1">
        <v>3.0</v>
      </c>
      <c r="E382" s="1">
        <v>4.0</v>
      </c>
      <c r="F382" s="1">
        <v>36900.0</v>
      </c>
    </row>
    <row r="383">
      <c r="A383" s="1" t="s">
        <v>847</v>
      </c>
      <c r="B383" s="1" t="s">
        <v>848</v>
      </c>
      <c r="C383" s="15">
        <f>+40771515201</f>
        <v>40771515201</v>
      </c>
      <c r="D383" s="1">
        <v>4.0</v>
      </c>
      <c r="E383" s="1">
        <v>4.0</v>
      </c>
      <c r="F383" s="1">
        <v>37600.0</v>
      </c>
    </row>
    <row r="384">
      <c r="A384" s="1" t="s">
        <v>849</v>
      </c>
      <c r="B384" s="1" t="s">
        <v>850</v>
      </c>
      <c r="C384" s="15">
        <f>+36303092818</f>
        <v>36303092818</v>
      </c>
      <c r="D384" s="1">
        <v>2.0</v>
      </c>
      <c r="E384" s="1">
        <v>4.0</v>
      </c>
      <c r="F384" s="1">
        <v>37400.0</v>
      </c>
    </row>
    <row r="385">
      <c r="A385" s="1" t="s">
        <v>851</v>
      </c>
      <c r="B385" s="1" t="s">
        <v>852</v>
      </c>
      <c r="C385" s="15">
        <f>+36703689967</f>
        <v>36703689967</v>
      </c>
      <c r="D385" s="1">
        <v>5.0</v>
      </c>
      <c r="E385" s="1">
        <v>4.0</v>
      </c>
      <c r="F385" s="1">
        <v>45500.0</v>
      </c>
    </row>
    <row r="386">
      <c r="A386" s="1" t="s">
        <v>853</v>
      </c>
      <c r="B386" s="1" t="s">
        <v>854</v>
      </c>
      <c r="C386" s="15">
        <f>+36303815938</f>
        <v>36303815938</v>
      </c>
      <c r="D386" s="1">
        <v>5.0</v>
      </c>
      <c r="E386" s="1">
        <v>4.0</v>
      </c>
      <c r="F386" s="1">
        <v>59400.0</v>
      </c>
    </row>
    <row r="387">
      <c r="A387" s="1" t="s">
        <v>855</v>
      </c>
      <c r="B387" s="1" t="s">
        <v>856</v>
      </c>
      <c r="C387" s="15">
        <f>+36209747841</f>
        <v>36209747841</v>
      </c>
      <c r="D387" s="1">
        <v>3.0</v>
      </c>
      <c r="E387" s="1">
        <v>4.0</v>
      </c>
      <c r="F387" s="1">
        <v>46300.0</v>
      </c>
    </row>
    <row r="388">
      <c r="A388" s="1" t="s">
        <v>857</v>
      </c>
      <c r="B388" s="1" t="s">
        <v>858</v>
      </c>
      <c r="C388" s="15">
        <f>+36202165074</f>
        <v>36202165074</v>
      </c>
      <c r="D388" s="1">
        <v>5.0</v>
      </c>
      <c r="E388" s="1">
        <v>4.0</v>
      </c>
      <c r="F388" s="1">
        <v>28300.0</v>
      </c>
    </row>
    <row r="389">
      <c r="A389" s="1" t="s">
        <v>859</v>
      </c>
      <c r="B389" s="1" t="s">
        <v>860</v>
      </c>
      <c r="C389" s="15">
        <f>+36703638565</f>
        <v>36703638565</v>
      </c>
      <c r="D389" s="1">
        <v>4.0</v>
      </c>
      <c r="E389" s="1">
        <v>4.0</v>
      </c>
      <c r="F389" s="1">
        <v>69300.0</v>
      </c>
    </row>
    <row r="390">
      <c r="A390" s="1" t="s">
        <v>861</v>
      </c>
      <c r="B390" s="1" t="s">
        <v>862</v>
      </c>
      <c r="C390" s="15">
        <f>+36305019893</f>
        <v>36305019893</v>
      </c>
      <c r="D390" s="1">
        <v>3.0</v>
      </c>
      <c r="E390" s="1">
        <v>4.0</v>
      </c>
      <c r="F390" s="1">
        <v>32300.0</v>
      </c>
    </row>
    <row r="391">
      <c r="A391" s="1" t="s">
        <v>863</v>
      </c>
      <c r="B391" s="1" t="s">
        <v>864</v>
      </c>
      <c r="C391" s="15">
        <f>+36303746528</f>
        <v>36303746528</v>
      </c>
      <c r="D391" s="1">
        <v>3.0</v>
      </c>
      <c r="E391" s="1">
        <v>4.0</v>
      </c>
      <c r="F391" s="1">
        <v>33900.0</v>
      </c>
    </row>
    <row r="392">
      <c r="A392" s="1" t="s">
        <v>865</v>
      </c>
      <c r="B392" s="1" t="s">
        <v>866</v>
      </c>
      <c r="C392" s="15">
        <f>+36309373966</f>
        <v>36309373966</v>
      </c>
      <c r="D392" s="1">
        <v>3.0</v>
      </c>
      <c r="E392" s="1">
        <v>4.0</v>
      </c>
      <c r="F392" s="1">
        <v>36600.0</v>
      </c>
    </row>
    <row r="393">
      <c r="A393" s="1" t="s">
        <v>867</v>
      </c>
      <c r="B393" s="1" t="s">
        <v>868</v>
      </c>
      <c r="C393" s="15">
        <f>+36703838569</f>
        <v>36703838569</v>
      </c>
      <c r="D393" s="1">
        <v>4.0</v>
      </c>
      <c r="E393" s="1">
        <v>4.0</v>
      </c>
      <c r="F393" s="1">
        <v>33300.0</v>
      </c>
    </row>
    <row r="394">
      <c r="A394" s="1" t="s">
        <v>869</v>
      </c>
      <c r="B394" s="1" t="s">
        <v>870</v>
      </c>
      <c r="C394" s="15">
        <f>+36209787255</f>
        <v>36209787255</v>
      </c>
      <c r="D394" s="1">
        <v>2.0</v>
      </c>
      <c r="E394" s="1">
        <v>4.0</v>
      </c>
      <c r="F394" s="1">
        <v>35600.0</v>
      </c>
    </row>
    <row r="395">
      <c r="A395" s="1" t="s">
        <v>871</v>
      </c>
      <c r="B395" s="1" t="s">
        <v>872</v>
      </c>
      <c r="C395" s="15">
        <f>+36209791990</f>
        <v>36209791990</v>
      </c>
      <c r="D395" s="1">
        <v>3.0</v>
      </c>
      <c r="E395" s="1">
        <v>4.0</v>
      </c>
      <c r="F395" s="1">
        <v>38600.0</v>
      </c>
    </row>
    <row r="396">
      <c r="A396" s="1" t="s">
        <v>873</v>
      </c>
      <c r="B396" s="1" t="s">
        <v>874</v>
      </c>
      <c r="C396" s="15">
        <f>+36204423534</f>
        <v>36204423534</v>
      </c>
      <c r="D396" s="1">
        <v>2.0</v>
      </c>
      <c r="E396" s="1">
        <v>4.0</v>
      </c>
      <c r="F396" s="1">
        <v>34800.0</v>
      </c>
    </row>
    <row r="397">
      <c r="A397" s="1" t="s">
        <v>875</v>
      </c>
      <c r="B397" s="1" t="s">
        <v>876</v>
      </c>
      <c r="C397" s="15">
        <f>+36702243333</f>
        <v>36702243333</v>
      </c>
      <c r="D397" s="1">
        <v>6.0</v>
      </c>
      <c r="E397" s="1">
        <v>4.0</v>
      </c>
      <c r="F397" s="1">
        <v>39200.0</v>
      </c>
    </row>
    <row r="398">
      <c r="A398" s="1" t="s">
        <v>877</v>
      </c>
      <c r="B398" s="1" t="s">
        <v>878</v>
      </c>
      <c r="C398" s="15">
        <f>+36703987543</f>
        <v>36703987543</v>
      </c>
      <c r="D398" s="1">
        <v>3.0</v>
      </c>
      <c r="E398" s="1">
        <v>4.0</v>
      </c>
      <c r="F398" s="1">
        <v>41300.0</v>
      </c>
    </row>
    <row r="399">
      <c r="A399" s="1" t="s">
        <v>879</v>
      </c>
      <c r="B399" s="1" t="s">
        <v>880</v>
      </c>
      <c r="C399" s="15">
        <f>+491628749897</f>
        <v>491628749897</v>
      </c>
      <c r="D399" s="1">
        <v>4.0</v>
      </c>
      <c r="E399" s="1">
        <v>4.0</v>
      </c>
      <c r="F399" s="1">
        <v>44800.0</v>
      </c>
    </row>
    <row r="400">
      <c r="A400" s="1" t="s">
        <v>881</v>
      </c>
      <c r="B400" s="1" t="s">
        <v>882</v>
      </c>
      <c r="C400" s="15">
        <f>+36307551148</f>
        <v>36307551148</v>
      </c>
      <c r="D400" s="1">
        <v>2.0</v>
      </c>
      <c r="E400" s="1">
        <v>4.0</v>
      </c>
      <c r="F400" s="1">
        <v>35000.0</v>
      </c>
    </row>
    <row r="401">
      <c r="A401" s="1" t="s">
        <v>883</v>
      </c>
      <c r="B401" s="1" t="s">
        <v>884</v>
      </c>
      <c r="C401" s="15">
        <f>+36204649181</f>
        <v>36204649181</v>
      </c>
      <c r="D401" s="1">
        <v>5.0</v>
      </c>
      <c r="E401" s="1">
        <v>4.0</v>
      </c>
      <c r="F401" s="1">
        <v>43200.0</v>
      </c>
    </row>
    <row r="402">
      <c r="A402" s="1" t="s">
        <v>885</v>
      </c>
      <c r="B402" s="1" t="s">
        <v>886</v>
      </c>
      <c r="C402" s="15">
        <f>+36301969774</f>
        <v>36301969774</v>
      </c>
      <c r="D402" s="1">
        <v>2.0</v>
      </c>
      <c r="E402" s="1">
        <v>4.0</v>
      </c>
      <c r="F402" s="1">
        <v>42100.0</v>
      </c>
    </row>
    <row r="403">
      <c r="A403" s="1" t="s">
        <v>887</v>
      </c>
      <c r="B403" s="1" t="s">
        <v>888</v>
      </c>
      <c r="C403" s="15">
        <f>+36703867246</f>
        <v>36703867246</v>
      </c>
      <c r="D403" s="1">
        <v>4.0</v>
      </c>
      <c r="E403" s="1">
        <v>4.0</v>
      </c>
      <c r="F403" s="1">
        <v>34900.0</v>
      </c>
    </row>
    <row r="404">
      <c r="A404" s="1" t="s">
        <v>889</v>
      </c>
      <c r="B404" s="1" t="s">
        <v>890</v>
      </c>
      <c r="C404" s="15">
        <f>+36205789887</f>
        <v>36205789887</v>
      </c>
      <c r="D404" s="1">
        <v>3.0</v>
      </c>
      <c r="E404" s="1">
        <v>4.0</v>
      </c>
      <c r="F404" s="1">
        <v>37500.0</v>
      </c>
    </row>
    <row r="405">
      <c r="A405" s="1" t="s">
        <v>891</v>
      </c>
      <c r="B405" s="1" t="s">
        <v>892</v>
      </c>
      <c r="C405" s="15">
        <f>+36306457493</f>
        <v>36306457493</v>
      </c>
      <c r="D405" s="1">
        <v>4.0</v>
      </c>
      <c r="E405" s="1">
        <v>4.0</v>
      </c>
      <c r="F405" s="1">
        <v>54400.0</v>
      </c>
    </row>
    <row r="406">
      <c r="A406" s="1" t="s">
        <v>893</v>
      </c>
      <c r="B406" s="1" t="s">
        <v>894</v>
      </c>
      <c r="C406" s="15">
        <f>+36309295280</f>
        <v>36309295280</v>
      </c>
      <c r="D406" s="1">
        <v>3.0</v>
      </c>
      <c r="E406" s="1">
        <v>4.0</v>
      </c>
      <c r="F406" s="1">
        <v>82000.0</v>
      </c>
    </row>
    <row r="407">
      <c r="A407" s="1" t="s">
        <v>895</v>
      </c>
      <c r="B407" s="1" t="s">
        <v>896</v>
      </c>
      <c r="C407" s="15">
        <f>+36307931379</f>
        <v>36307931379</v>
      </c>
      <c r="D407" s="1">
        <v>4.0</v>
      </c>
      <c r="E407" s="1">
        <v>4.0</v>
      </c>
      <c r="F407" s="1">
        <v>47000.0</v>
      </c>
    </row>
    <row r="408">
      <c r="A408" s="1" t="s">
        <v>897</v>
      </c>
      <c r="B408" s="1" t="s">
        <v>898</v>
      </c>
      <c r="C408" s="15">
        <f>+36203818376</f>
        <v>36203818376</v>
      </c>
      <c r="D408" s="1">
        <v>3.0</v>
      </c>
      <c r="E408" s="1">
        <v>4.0</v>
      </c>
      <c r="F408" s="1">
        <v>40800.0</v>
      </c>
    </row>
    <row r="409">
      <c r="A409" s="1" t="s">
        <v>899</v>
      </c>
      <c r="B409" s="1" t="s">
        <v>900</v>
      </c>
      <c r="C409" s="15">
        <f>+36703808513</f>
        <v>36703808513</v>
      </c>
      <c r="D409" s="1">
        <v>3.0</v>
      </c>
      <c r="E409" s="1">
        <v>4.0</v>
      </c>
      <c r="F409" s="1">
        <v>49100.0</v>
      </c>
    </row>
    <row r="410">
      <c r="A410" s="1" t="s">
        <v>901</v>
      </c>
      <c r="B410" s="1" t="s">
        <v>902</v>
      </c>
      <c r="C410" s="15">
        <f>+36703307018</f>
        <v>36703307018</v>
      </c>
      <c r="D410" s="1">
        <v>4.0</v>
      </c>
      <c r="E410" s="1">
        <v>4.0</v>
      </c>
      <c r="F410" s="1">
        <v>52400.0</v>
      </c>
    </row>
    <row r="411">
      <c r="A411" s="1" t="s">
        <v>903</v>
      </c>
      <c r="B411" s="1" t="s">
        <v>904</v>
      </c>
      <c r="C411" s="15">
        <f>+36702579977</f>
        <v>36702579977</v>
      </c>
      <c r="D411" s="1">
        <v>5.0</v>
      </c>
      <c r="E411" s="1">
        <v>4.0</v>
      </c>
      <c r="F411" s="1">
        <v>45800.0</v>
      </c>
    </row>
    <row r="412">
      <c r="A412" s="1" t="s">
        <v>905</v>
      </c>
      <c r="B412" s="1" t="s">
        <v>906</v>
      </c>
      <c r="C412" s="15">
        <f>+36703369525</f>
        <v>36703369525</v>
      </c>
      <c r="D412" s="1">
        <v>4.0</v>
      </c>
      <c r="E412" s="1">
        <v>4.0</v>
      </c>
      <c r="F412" s="1">
        <v>55600.0</v>
      </c>
    </row>
    <row r="413">
      <c r="A413" s="1" t="s">
        <v>907</v>
      </c>
      <c r="B413" s="1" t="s">
        <v>908</v>
      </c>
      <c r="C413" s="15">
        <f>+36705050886</f>
        <v>36705050886</v>
      </c>
      <c r="D413" s="1">
        <v>3.0</v>
      </c>
      <c r="E413" s="1">
        <v>4.0</v>
      </c>
      <c r="F413" s="1">
        <v>50900.0</v>
      </c>
    </row>
    <row r="414">
      <c r="A414" s="1" t="s">
        <v>909</v>
      </c>
      <c r="B414" s="1" t="s">
        <v>910</v>
      </c>
      <c r="C414" s="15">
        <f>+36309258069</f>
        <v>36309258069</v>
      </c>
      <c r="D414" s="1">
        <v>3.0</v>
      </c>
      <c r="E414" s="1">
        <v>4.0</v>
      </c>
      <c r="F414" s="1">
        <v>31400.0</v>
      </c>
    </row>
    <row r="415">
      <c r="A415" s="1" t="s">
        <v>911</v>
      </c>
      <c r="B415" s="1" t="s">
        <v>912</v>
      </c>
      <c r="C415" s="15">
        <f>+36302953918</f>
        <v>36302953918</v>
      </c>
      <c r="D415" s="1">
        <v>5.0</v>
      </c>
      <c r="E415" s="1">
        <v>4.0</v>
      </c>
      <c r="F415" s="1">
        <v>47700.0</v>
      </c>
    </row>
    <row r="416">
      <c r="A416" s="1" t="s">
        <v>913</v>
      </c>
      <c r="B416" s="1" t="s">
        <v>914</v>
      </c>
      <c r="C416" s="15">
        <f>+36205444317</f>
        <v>36205444317</v>
      </c>
      <c r="D416" s="1">
        <v>4.0</v>
      </c>
      <c r="E416" s="1">
        <v>4.0</v>
      </c>
      <c r="F416" s="1">
        <v>98000.0</v>
      </c>
    </row>
    <row r="417">
      <c r="A417" s="1" t="s">
        <v>915</v>
      </c>
      <c r="B417" s="1" t="s">
        <v>916</v>
      </c>
      <c r="C417" s="15">
        <f>+36205846929</f>
        <v>36205846929</v>
      </c>
      <c r="D417" s="1">
        <v>3.0</v>
      </c>
      <c r="E417" s="1">
        <v>4.0</v>
      </c>
      <c r="F417" s="1">
        <v>43800.0</v>
      </c>
    </row>
    <row r="418">
      <c r="A418" s="1" t="s">
        <v>917</v>
      </c>
      <c r="B418" s="1" t="s">
        <v>918</v>
      </c>
      <c r="C418" s="15">
        <f>+421908594332</f>
        <v>421908594332</v>
      </c>
      <c r="D418" s="1">
        <v>2.0</v>
      </c>
      <c r="E418" s="1">
        <v>4.0</v>
      </c>
      <c r="F418" s="1">
        <v>34200.0</v>
      </c>
    </row>
    <row r="419">
      <c r="A419" s="1" t="s">
        <v>919</v>
      </c>
      <c r="B419" s="1" t="s">
        <v>920</v>
      </c>
      <c r="C419" s="15">
        <f>+36203764530</f>
        <v>36203764530</v>
      </c>
      <c r="D419" s="1">
        <v>4.0</v>
      </c>
      <c r="E419" s="1">
        <v>4.0</v>
      </c>
      <c r="F419" s="1">
        <v>42800.0</v>
      </c>
    </row>
    <row r="420">
      <c r="A420" s="1" t="s">
        <v>921</v>
      </c>
      <c r="B420" s="1" t="s">
        <v>922</v>
      </c>
      <c r="C420" s="15">
        <f>+36204298718</f>
        <v>36204298718</v>
      </c>
      <c r="D420" s="1">
        <v>1.0</v>
      </c>
      <c r="E420" s="1">
        <v>4.0</v>
      </c>
      <c r="F420" s="1">
        <v>23200.0</v>
      </c>
    </row>
    <row r="421">
      <c r="A421" s="1" t="s">
        <v>923</v>
      </c>
      <c r="B421" s="1" t="s">
        <v>924</v>
      </c>
      <c r="C421" s="15">
        <f>+36206655052</f>
        <v>36206655052</v>
      </c>
      <c r="D421" s="1">
        <v>3.0</v>
      </c>
      <c r="E421" s="1">
        <v>4.0</v>
      </c>
      <c r="F421" s="1">
        <v>38200.0</v>
      </c>
    </row>
    <row r="422">
      <c r="A422" s="1" t="s">
        <v>925</v>
      </c>
      <c r="B422" s="1" t="s">
        <v>926</v>
      </c>
      <c r="C422" s="15">
        <f>+36205689969</f>
        <v>36205689969</v>
      </c>
      <c r="D422" s="1">
        <v>4.0</v>
      </c>
      <c r="E422" s="1">
        <v>4.0</v>
      </c>
      <c r="F422" s="1">
        <v>34000.0</v>
      </c>
    </row>
    <row r="423">
      <c r="A423" s="1" t="s">
        <v>927</v>
      </c>
      <c r="B423" s="1" t="s">
        <v>928</v>
      </c>
      <c r="C423" s="15">
        <f>+36302480051</f>
        <v>36302480051</v>
      </c>
      <c r="D423" s="1">
        <v>3.0</v>
      </c>
      <c r="E423" s="1">
        <v>4.0</v>
      </c>
      <c r="F423" s="1">
        <v>39800.0</v>
      </c>
    </row>
    <row r="424">
      <c r="A424" s="1" t="s">
        <v>929</v>
      </c>
      <c r="B424" s="1" t="s">
        <v>930</v>
      </c>
      <c r="C424" s="15">
        <f>+36309034218</f>
        <v>36309034218</v>
      </c>
      <c r="D424" s="1">
        <v>4.0</v>
      </c>
      <c r="E424" s="1">
        <v>4.0</v>
      </c>
      <c r="F424" s="1">
        <v>37000.0</v>
      </c>
    </row>
    <row r="425">
      <c r="A425" s="1" t="s">
        <v>931</v>
      </c>
      <c r="B425" s="1" t="s">
        <v>932</v>
      </c>
      <c r="C425" s="15">
        <f>+36209582291</f>
        <v>36209582291</v>
      </c>
      <c r="D425" s="1">
        <v>4.0</v>
      </c>
      <c r="E425" s="1">
        <v>4.0</v>
      </c>
      <c r="F425" s="1">
        <v>36100.0</v>
      </c>
    </row>
    <row r="426">
      <c r="A426" s="1" t="s">
        <v>933</v>
      </c>
      <c r="B426" s="1" t="s">
        <v>934</v>
      </c>
      <c r="C426" s="15">
        <f>+36302870094</f>
        <v>36302870094</v>
      </c>
      <c r="D426" s="1">
        <v>5.0</v>
      </c>
      <c r="E426" s="1">
        <v>4.0</v>
      </c>
      <c r="F426" s="1">
        <v>30800.0</v>
      </c>
    </row>
    <row r="427">
      <c r="A427" s="1" t="s">
        <v>935</v>
      </c>
      <c r="B427" s="1" t="s">
        <v>936</v>
      </c>
      <c r="C427" s="15">
        <f>+436607622177</f>
        <v>436607622177</v>
      </c>
      <c r="D427" s="1">
        <v>1.0</v>
      </c>
      <c r="E427" s="1">
        <v>4.0</v>
      </c>
      <c r="F427" s="1">
        <v>95200.0</v>
      </c>
    </row>
    <row r="428">
      <c r="A428" s="1" t="s">
        <v>937</v>
      </c>
      <c r="B428" s="1" t="s">
        <v>938</v>
      </c>
      <c r="C428" s="15">
        <f>+36202102697</f>
        <v>36202102697</v>
      </c>
      <c r="D428" s="1">
        <v>4.0</v>
      </c>
      <c r="E428" s="1">
        <v>4.0</v>
      </c>
      <c r="F428" s="1">
        <v>68000.0</v>
      </c>
    </row>
    <row r="429">
      <c r="A429" s="1" t="s">
        <v>939</v>
      </c>
      <c r="B429" s="1" t="s">
        <v>940</v>
      </c>
      <c r="C429" s="15">
        <f>+36304873781</f>
        <v>36304873781</v>
      </c>
      <c r="D429" s="1">
        <v>3.0</v>
      </c>
      <c r="E429" s="1">
        <v>4.0</v>
      </c>
      <c r="F429" s="1">
        <v>38400.0</v>
      </c>
    </row>
    <row r="430">
      <c r="A430" s="1" t="s">
        <v>941</v>
      </c>
      <c r="B430" s="1" t="s">
        <v>942</v>
      </c>
      <c r="C430" s="15">
        <f>+36303974838</f>
        <v>36303974838</v>
      </c>
      <c r="D430" s="1">
        <v>3.0</v>
      </c>
      <c r="E430" s="1">
        <v>4.0</v>
      </c>
      <c r="F430" s="1">
        <v>56500.0</v>
      </c>
    </row>
    <row r="431">
      <c r="A431" s="1" t="s">
        <v>943</v>
      </c>
      <c r="B431" s="1" t="s">
        <v>944</v>
      </c>
      <c r="C431" s="15">
        <f>+36308206696</f>
        <v>36308206696</v>
      </c>
      <c r="D431" s="1">
        <v>4.0</v>
      </c>
      <c r="E431" s="1">
        <v>4.0</v>
      </c>
      <c r="F431" s="1">
        <v>45200.0</v>
      </c>
    </row>
    <row r="432">
      <c r="A432" s="1" t="s">
        <v>945</v>
      </c>
      <c r="B432" s="1" t="s">
        <v>946</v>
      </c>
      <c r="C432" s="15">
        <f>+36303439188</f>
        <v>36303439188</v>
      </c>
      <c r="D432" s="1">
        <v>3.0</v>
      </c>
      <c r="E432" s="1">
        <v>4.0</v>
      </c>
      <c r="F432" s="1">
        <v>32800.0</v>
      </c>
    </row>
    <row r="433">
      <c r="A433" s="1" t="s">
        <v>947</v>
      </c>
      <c r="B433" s="1" t="s">
        <v>948</v>
      </c>
      <c r="C433" s="15">
        <f>+36209149237</f>
        <v>36209149237</v>
      </c>
      <c r="D433" s="1">
        <v>4.0</v>
      </c>
      <c r="E433" s="1">
        <v>4.0</v>
      </c>
      <c r="F433" s="1">
        <v>28000.0</v>
      </c>
    </row>
    <row r="434">
      <c r="A434" s="1" t="s">
        <v>949</v>
      </c>
      <c r="B434" s="1" t="s">
        <v>950</v>
      </c>
      <c r="C434" s="15">
        <f>+36303570205</f>
        <v>36303570205</v>
      </c>
      <c r="D434" s="1">
        <v>4.0</v>
      </c>
      <c r="E434" s="1">
        <v>4.0</v>
      </c>
      <c r="F434" s="1">
        <v>40900.0</v>
      </c>
    </row>
    <row r="435">
      <c r="A435" s="1" t="s">
        <v>951</v>
      </c>
      <c r="B435" s="1" t="s">
        <v>952</v>
      </c>
      <c r="C435" s="15">
        <f>+36209568137</f>
        <v>36209568137</v>
      </c>
      <c r="D435" s="1">
        <v>3.0</v>
      </c>
      <c r="E435" s="1">
        <v>4.0</v>
      </c>
      <c r="F435" s="1">
        <v>40200.0</v>
      </c>
    </row>
    <row r="436">
      <c r="A436" s="1" t="s">
        <v>953</v>
      </c>
      <c r="B436" s="1" t="s">
        <v>954</v>
      </c>
      <c r="C436" s="15">
        <f>+36206693780</f>
        <v>36206693780</v>
      </c>
      <c r="D436" s="1">
        <v>3.0</v>
      </c>
      <c r="E436" s="1">
        <v>4.0</v>
      </c>
      <c r="F436" s="1">
        <v>32300.0</v>
      </c>
    </row>
    <row r="437">
      <c r="A437" s="1" t="s">
        <v>955</v>
      </c>
      <c r="B437" s="1" t="s">
        <v>956</v>
      </c>
      <c r="C437" s="15">
        <f>+36703349179</f>
        <v>36703349179</v>
      </c>
      <c r="D437" s="1">
        <v>4.0</v>
      </c>
      <c r="E437" s="1">
        <v>4.0</v>
      </c>
      <c r="F437" s="1">
        <v>51700.0</v>
      </c>
    </row>
    <row r="438">
      <c r="A438" s="1" t="s">
        <v>957</v>
      </c>
      <c r="B438" s="1" t="s">
        <v>958</v>
      </c>
      <c r="C438" s="15">
        <f>+36205774195</f>
        <v>36205774195</v>
      </c>
      <c r="D438" s="1">
        <v>2.0</v>
      </c>
      <c r="E438" s="1">
        <v>4.0</v>
      </c>
      <c r="F438" s="1">
        <v>41200.0</v>
      </c>
    </row>
    <row r="439">
      <c r="A439" s="1" t="s">
        <v>959</v>
      </c>
      <c r="B439" s="1" t="s">
        <v>960</v>
      </c>
      <c r="C439" s="15">
        <f>+36202219710</f>
        <v>36202219710</v>
      </c>
      <c r="D439" s="1">
        <v>4.0</v>
      </c>
      <c r="E439" s="1">
        <v>4.0</v>
      </c>
      <c r="F439" s="1">
        <v>32200.0</v>
      </c>
    </row>
    <row r="440">
      <c r="A440" s="1" t="s">
        <v>961</v>
      </c>
      <c r="B440" s="1" t="s">
        <v>962</v>
      </c>
      <c r="C440" s="15">
        <f>+36203877959</f>
        <v>36203877959</v>
      </c>
      <c r="D440" s="1">
        <v>3.0</v>
      </c>
      <c r="E440" s="1">
        <v>4.0</v>
      </c>
      <c r="F440" s="1">
        <v>41000.0</v>
      </c>
    </row>
    <row r="441">
      <c r="A441" s="1" t="s">
        <v>963</v>
      </c>
      <c r="B441" s="1" t="s">
        <v>964</v>
      </c>
      <c r="C441" s="15">
        <f>+36304069190</f>
        <v>36304069190</v>
      </c>
      <c r="D441" s="1">
        <v>4.0</v>
      </c>
      <c r="E441" s="1">
        <v>4.0</v>
      </c>
      <c r="F441" s="1">
        <v>35300.0</v>
      </c>
    </row>
    <row r="442">
      <c r="A442" s="1" t="s">
        <v>965</v>
      </c>
      <c r="B442" s="1" t="s">
        <v>966</v>
      </c>
      <c r="C442" s="15">
        <f>+36209939065</f>
        <v>36209939065</v>
      </c>
      <c r="D442" s="1">
        <v>4.0</v>
      </c>
      <c r="E442" s="1">
        <v>4.0</v>
      </c>
      <c r="F442" s="1">
        <v>38600.0</v>
      </c>
    </row>
    <row r="443">
      <c r="A443" s="1" t="s">
        <v>967</v>
      </c>
      <c r="B443" s="1" t="s">
        <v>968</v>
      </c>
      <c r="C443" s="15">
        <f>+36303993397</f>
        <v>36303993397</v>
      </c>
      <c r="D443" s="1">
        <v>4.0</v>
      </c>
      <c r="E443" s="1">
        <v>4.0</v>
      </c>
      <c r="F443" s="1">
        <v>73500.0</v>
      </c>
    </row>
    <row r="444">
      <c r="A444" s="1" t="s">
        <v>969</v>
      </c>
      <c r="B444" s="1" t="s">
        <v>970</v>
      </c>
      <c r="C444" s="15">
        <f>+36302279225</f>
        <v>36302279225</v>
      </c>
      <c r="D444" s="1">
        <v>3.0</v>
      </c>
      <c r="E444" s="1">
        <v>4.0</v>
      </c>
      <c r="F444" s="1">
        <v>45000.0</v>
      </c>
    </row>
    <row r="445">
      <c r="A445" s="1" t="s">
        <v>971</v>
      </c>
      <c r="B445" s="1" t="s">
        <v>972</v>
      </c>
      <c r="C445" s="15">
        <f>+36306931055</f>
        <v>36306931055</v>
      </c>
      <c r="D445" s="1">
        <v>4.0</v>
      </c>
      <c r="E445" s="1">
        <v>4.0</v>
      </c>
      <c r="F445" s="1">
        <v>46300.0</v>
      </c>
    </row>
    <row r="446">
      <c r="A446" s="1" t="s">
        <v>973</v>
      </c>
      <c r="B446" s="1" t="s">
        <v>974</v>
      </c>
      <c r="C446" s="15">
        <f>+36304149314</f>
        <v>36304149314</v>
      </c>
      <c r="D446" s="1">
        <v>3.0</v>
      </c>
      <c r="E446" s="1">
        <v>4.0</v>
      </c>
      <c r="F446" s="1">
        <v>41000.0</v>
      </c>
    </row>
    <row r="447">
      <c r="A447" s="1" t="s">
        <v>975</v>
      </c>
      <c r="B447" s="1" t="s">
        <v>976</v>
      </c>
      <c r="C447" s="15">
        <f>+36309201980</f>
        <v>36309201980</v>
      </c>
      <c r="D447" s="1">
        <v>3.0</v>
      </c>
      <c r="E447" s="1">
        <v>4.0</v>
      </c>
      <c r="F447" s="1">
        <v>38500.0</v>
      </c>
    </row>
    <row r="448">
      <c r="A448" s="1" t="s">
        <v>977</v>
      </c>
      <c r="B448" s="1" t="s">
        <v>978</v>
      </c>
      <c r="C448" s="15">
        <f>+36209846392</f>
        <v>36209846392</v>
      </c>
      <c r="D448" s="1">
        <v>3.0</v>
      </c>
      <c r="E448" s="1">
        <v>4.0</v>
      </c>
      <c r="F448" s="1">
        <v>42100.0</v>
      </c>
    </row>
    <row r="449">
      <c r="A449" s="1" t="s">
        <v>979</v>
      </c>
      <c r="B449" s="1" t="s">
        <v>980</v>
      </c>
      <c r="C449" s="15">
        <f>+36302679406</f>
        <v>36302679406</v>
      </c>
      <c r="D449" s="1">
        <v>3.0</v>
      </c>
      <c r="E449" s="1">
        <v>4.0</v>
      </c>
      <c r="F449" s="1">
        <v>32400.0</v>
      </c>
    </row>
    <row r="450">
      <c r="A450" s="1" t="s">
        <v>981</v>
      </c>
      <c r="B450" s="1" t="s">
        <v>982</v>
      </c>
      <c r="C450" s="15">
        <f>+36209681562</f>
        <v>36209681562</v>
      </c>
      <c r="D450" s="1">
        <v>5.0</v>
      </c>
      <c r="E450" s="1">
        <v>4.0</v>
      </c>
      <c r="F450" s="1">
        <v>40100.0</v>
      </c>
    </row>
    <row r="451">
      <c r="A451" s="1" t="s">
        <v>983</v>
      </c>
      <c r="B451" s="1" t="s">
        <v>984</v>
      </c>
      <c r="C451" s="15">
        <f>+36202774073</f>
        <v>36202774073</v>
      </c>
      <c r="D451" s="1">
        <v>5.0</v>
      </c>
      <c r="E451" s="1">
        <v>4.0</v>
      </c>
      <c r="F451" s="1">
        <v>38900.0</v>
      </c>
    </row>
    <row r="452">
      <c r="A452" s="1" t="s">
        <v>985</v>
      </c>
      <c r="B452" s="1" t="s">
        <v>986</v>
      </c>
      <c r="C452" s="15">
        <f>+36209331998</f>
        <v>36209331998</v>
      </c>
      <c r="D452" s="1">
        <v>4.0</v>
      </c>
      <c r="E452" s="1">
        <v>4.0</v>
      </c>
      <c r="F452" s="1">
        <v>43100.0</v>
      </c>
    </row>
    <row r="453">
      <c r="A453" s="1" t="s">
        <v>987</v>
      </c>
      <c r="B453" s="1" t="s">
        <v>988</v>
      </c>
      <c r="C453" s="15">
        <f>+36309016253</f>
        <v>36309016253</v>
      </c>
      <c r="D453" s="1">
        <v>1.0</v>
      </c>
      <c r="E453" s="1">
        <v>4.0</v>
      </c>
      <c r="F453" s="1">
        <v>36000.0</v>
      </c>
    </row>
    <row r="454">
      <c r="A454" s="1" t="s">
        <v>989</v>
      </c>
      <c r="B454" s="1" t="s">
        <v>990</v>
      </c>
      <c r="C454" s="15">
        <f>+36702133230</f>
        <v>36702133230</v>
      </c>
      <c r="D454" s="1">
        <v>4.0</v>
      </c>
      <c r="E454" s="1">
        <v>4.0</v>
      </c>
      <c r="F454" s="1">
        <v>69300.0</v>
      </c>
    </row>
    <row r="455">
      <c r="A455" s="1" t="s">
        <v>991</v>
      </c>
      <c r="B455" s="1" t="s">
        <v>992</v>
      </c>
      <c r="C455" s="15">
        <f>+36204275935</f>
        <v>36204275935</v>
      </c>
      <c r="D455" s="1">
        <v>4.0</v>
      </c>
      <c r="E455" s="1">
        <v>4.0</v>
      </c>
      <c r="F455" s="1">
        <v>51100.0</v>
      </c>
    </row>
    <row r="456">
      <c r="A456" s="1" t="s">
        <v>993</v>
      </c>
      <c r="B456" s="1" t="s">
        <v>994</v>
      </c>
      <c r="C456" s="15">
        <f>+36206615781</f>
        <v>36206615781</v>
      </c>
      <c r="D456" s="1">
        <v>4.0</v>
      </c>
      <c r="E456" s="1">
        <v>4.0</v>
      </c>
      <c r="F456" s="1">
        <v>40000.0</v>
      </c>
    </row>
    <row r="457">
      <c r="A457" s="1" t="s">
        <v>995</v>
      </c>
      <c r="B457" s="1" t="s">
        <v>996</v>
      </c>
      <c r="C457" s="15">
        <f>+36202907727</f>
        <v>36202907727</v>
      </c>
      <c r="D457" s="1">
        <v>2.0</v>
      </c>
      <c r="E457" s="1">
        <v>4.0</v>
      </c>
      <c r="F457" s="1">
        <v>33300.0</v>
      </c>
    </row>
    <row r="458">
      <c r="A458" s="1" t="s">
        <v>997</v>
      </c>
      <c r="B458" s="1" t="s">
        <v>998</v>
      </c>
      <c r="C458" s="15">
        <f>+36307030548</f>
        <v>36307030548</v>
      </c>
      <c r="D458" s="1">
        <v>3.0</v>
      </c>
      <c r="E458" s="1">
        <v>4.0</v>
      </c>
      <c r="F458" s="1">
        <v>46100.0</v>
      </c>
    </row>
    <row r="459">
      <c r="A459" s="1" t="s">
        <v>999</v>
      </c>
      <c r="B459" s="1" t="s">
        <v>1000</v>
      </c>
      <c r="C459" s="15">
        <f>+36304328872</f>
        <v>36304328872</v>
      </c>
      <c r="D459" s="1">
        <v>4.0</v>
      </c>
      <c r="E459" s="1">
        <v>4.0</v>
      </c>
      <c r="F459" s="1">
        <v>40400.0</v>
      </c>
    </row>
    <row r="460">
      <c r="A460" s="1" t="s">
        <v>1001</v>
      </c>
      <c r="B460" s="1" t="s">
        <v>1002</v>
      </c>
      <c r="C460" s="15">
        <f>+36208051475</f>
        <v>36208051475</v>
      </c>
      <c r="D460" s="1">
        <v>3.0</v>
      </c>
      <c r="E460" s="1">
        <v>4.0</v>
      </c>
      <c r="F460" s="1">
        <v>38800.0</v>
      </c>
    </row>
    <row r="461">
      <c r="A461" s="1" t="s">
        <v>1003</v>
      </c>
      <c r="B461" s="1" t="s">
        <v>1004</v>
      </c>
      <c r="C461" s="15">
        <f>+36204120864</f>
        <v>36204120864</v>
      </c>
      <c r="D461" s="1">
        <v>4.0</v>
      </c>
      <c r="E461" s="1">
        <v>4.0</v>
      </c>
      <c r="F461" s="1">
        <v>45400.0</v>
      </c>
    </row>
    <row r="462">
      <c r="A462" s="1" t="s">
        <v>1005</v>
      </c>
      <c r="B462" s="1" t="s">
        <v>1006</v>
      </c>
      <c r="C462" s="15">
        <f>+36306925122</f>
        <v>36306925122</v>
      </c>
      <c r="D462" s="1">
        <v>4.0</v>
      </c>
      <c r="E462" s="1">
        <v>4.0</v>
      </c>
      <c r="F462" s="1">
        <v>33000.0</v>
      </c>
    </row>
    <row r="463">
      <c r="A463" s="1" t="s">
        <v>1007</v>
      </c>
      <c r="B463" s="1" t="s">
        <v>1008</v>
      </c>
      <c r="C463" s="15">
        <f>+36302555470</f>
        <v>36302555470</v>
      </c>
      <c r="D463" s="1">
        <v>3.0</v>
      </c>
      <c r="E463" s="1">
        <v>4.0</v>
      </c>
      <c r="F463" s="1">
        <v>34900.0</v>
      </c>
    </row>
    <row r="464">
      <c r="A464" s="1" t="s">
        <v>1009</v>
      </c>
      <c r="B464" s="1" t="s">
        <v>1010</v>
      </c>
      <c r="C464" s="15">
        <f>+36703585028</f>
        <v>36703585028</v>
      </c>
      <c r="D464" s="1">
        <v>1.0</v>
      </c>
      <c r="E464" s="1">
        <v>4.0</v>
      </c>
      <c r="F464" s="1">
        <v>46800.0</v>
      </c>
    </row>
    <row r="465">
      <c r="A465" s="1" t="s">
        <v>1011</v>
      </c>
      <c r="B465" s="1" t="s">
        <v>1012</v>
      </c>
      <c r="C465" s="15">
        <f>+36202487025</f>
        <v>36202487025</v>
      </c>
      <c r="D465" s="1">
        <v>3.0</v>
      </c>
      <c r="E465" s="1">
        <v>4.0</v>
      </c>
      <c r="F465" s="1">
        <v>48200.0</v>
      </c>
    </row>
    <row r="466">
      <c r="A466" s="1" t="s">
        <v>1013</v>
      </c>
      <c r="B466" s="1" t="s">
        <v>1014</v>
      </c>
      <c r="C466" s="15">
        <f>+36702019680</f>
        <v>36702019680</v>
      </c>
      <c r="D466" s="1">
        <v>4.0</v>
      </c>
      <c r="E466" s="1">
        <v>4.0</v>
      </c>
      <c r="F466" s="1">
        <v>41800.0</v>
      </c>
    </row>
    <row r="467">
      <c r="A467" s="1" t="s">
        <v>1015</v>
      </c>
      <c r="B467" s="1" t="s">
        <v>1016</v>
      </c>
      <c r="C467" s="15">
        <f>+36704111673</f>
        <v>36704111673</v>
      </c>
      <c r="D467" s="1">
        <v>3.0</v>
      </c>
      <c r="E467" s="1">
        <v>4.0</v>
      </c>
      <c r="F467" s="1">
        <v>36600.0</v>
      </c>
    </row>
    <row r="468">
      <c r="A468" s="1" t="s">
        <v>1017</v>
      </c>
      <c r="B468" s="1" t="s">
        <v>1018</v>
      </c>
      <c r="C468" s="15">
        <f>+36304776937</f>
        <v>36304776937</v>
      </c>
      <c r="D468" s="1">
        <v>4.0</v>
      </c>
      <c r="E468" s="1">
        <v>4.0</v>
      </c>
      <c r="F468" s="1">
        <v>30200.0</v>
      </c>
    </row>
    <row r="469">
      <c r="A469" s="1" t="s">
        <v>1019</v>
      </c>
      <c r="B469" s="1" t="s">
        <v>1020</v>
      </c>
      <c r="C469" s="15">
        <f>+36309393655</f>
        <v>36309393655</v>
      </c>
      <c r="D469" s="1">
        <v>6.0</v>
      </c>
      <c r="E469" s="1">
        <v>4.0</v>
      </c>
      <c r="F469" s="1">
        <v>36300.0</v>
      </c>
    </row>
    <row r="470">
      <c r="A470" s="1" t="s">
        <v>1021</v>
      </c>
      <c r="B470" s="1" t="s">
        <v>1022</v>
      </c>
      <c r="C470" s="15">
        <f>+36204547218</f>
        <v>36204547218</v>
      </c>
      <c r="D470" s="1">
        <v>4.0</v>
      </c>
      <c r="E470" s="1">
        <v>4.0</v>
      </c>
      <c r="F470" s="1">
        <v>51700.0</v>
      </c>
    </row>
    <row r="471">
      <c r="A471" s="1" t="s">
        <v>1023</v>
      </c>
      <c r="B471" s="1" t="s">
        <v>1024</v>
      </c>
      <c r="C471" s="15">
        <f>+36706660492</f>
        <v>36706660492</v>
      </c>
      <c r="D471" s="1">
        <v>4.0</v>
      </c>
      <c r="E471" s="1">
        <v>4.0</v>
      </c>
      <c r="F471" s="1">
        <v>37600.0</v>
      </c>
    </row>
    <row r="472">
      <c r="A472" s="1" t="s">
        <v>1025</v>
      </c>
      <c r="B472" s="1" t="s">
        <v>1026</v>
      </c>
      <c r="C472" s="15">
        <f>+36305526660</f>
        <v>36305526660</v>
      </c>
      <c r="D472" s="1">
        <v>3.0</v>
      </c>
      <c r="E472" s="1">
        <v>4.0</v>
      </c>
      <c r="F472" s="1">
        <v>32100.0</v>
      </c>
    </row>
    <row r="473">
      <c r="A473" s="1" t="s">
        <v>1027</v>
      </c>
      <c r="B473" s="1" t="s">
        <v>1028</v>
      </c>
      <c r="C473" s="15">
        <f>+36202514334</f>
        <v>36202514334</v>
      </c>
      <c r="D473" s="1">
        <v>3.0</v>
      </c>
      <c r="E473" s="1">
        <v>4.0</v>
      </c>
      <c r="F473" s="1">
        <v>40400.0</v>
      </c>
    </row>
    <row r="474">
      <c r="A474" s="1" t="s">
        <v>1029</v>
      </c>
      <c r="B474" s="1" t="s">
        <v>1030</v>
      </c>
      <c r="C474" s="15">
        <f>+436641600492</f>
        <v>436641600492</v>
      </c>
      <c r="D474" s="1">
        <v>5.0</v>
      </c>
      <c r="E474" s="1">
        <v>4.0</v>
      </c>
      <c r="F474" s="1">
        <v>35700.0</v>
      </c>
    </row>
    <row r="475">
      <c r="A475" s="1" t="s">
        <v>1031</v>
      </c>
      <c r="B475" s="1" t="s">
        <v>1032</v>
      </c>
      <c r="C475" s="15">
        <f>+36309737288</f>
        <v>36309737288</v>
      </c>
      <c r="D475" s="1">
        <v>3.0</v>
      </c>
      <c r="E475" s="1">
        <v>4.0</v>
      </c>
      <c r="F475" s="1">
        <v>45600.0</v>
      </c>
    </row>
    <row r="476">
      <c r="A476" s="1" t="s">
        <v>1033</v>
      </c>
      <c r="B476" s="1" t="s">
        <v>1034</v>
      </c>
      <c r="C476" s="15">
        <f>+36308619851</f>
        <v>36308619851</v>
      </c>
      <c r="D476" s="1">
        <v>4.0</v>
      </c>
      <c r="E476" s="1">
        <v>4.0</v>
      </c>
      <c r="F476" s="1">
        <v>39600.0</v>
      </c>
    </row>
    <row r="477">
      <c r="A477" s="1" t="s">
        <v>1035</v>
      </c>
      <c r="B477" s="1" t="s">
        <v>1036</v>
      </c>
      <c r="C477" s="15">
        <f>+36703696975</f>
        <v>36703696975</v>
      </c>
      <c r="D477" s="1">
        <v>2.0</v>
      </c>
      <c r="E477" s="1">
        <v>4.0</v>
      </c>
      <c r="F477" s="1">
        <v>41400.0</v>
      </c>
    </row>
    <row r="478">
      <c r="A478" s="1" t="s">
        <v>1037</v>
      </c>
      <c r="B478" s="1" t="s">
        <v>1038</v>
      </c>
      <c r="C478" s="15">
        <f>+36309382149</f>
        <v>36309382149</v>
      </c>
      <c r="D478" s="1">
        <v>4.0</v>
      </c>
      <c r="E478" s="1">
        <v>4.0</v>
      </c>
      <c r="F478" s="1">
        <v>35800.0</v>
      </c>
    </row>
    <row r="479">
      <c r="A479" s="1" t="s">
        <v>1039</v>
      </c>
      <c r="B479" s="1" t="s">
        <v>1040</v>
      </c>
      <c r="C479" s="15">
        <f>+36203627094</f>
        <v>36203627094</v>
      </c>
      <c r="D479" s="1">
        <v>3.0</v>
      </c>
      <c r="E479" s="1">
        <v>4.0</v>
      </c>
      <c r="F479" s="1">
        <v>37800.0</v>
      </c>
    </row>
    <row r="480">
      <c r="A480" s="1" t="s">
        <v>1041</v>
      </c>
      <c r="B480" s="1" t="s">
        <v>1042</v>
      </c>
      <c r="C480" s="15">
        <f>+36209687350</f>
        <v>36209687350</v>
      </c>
      <c r="D480" s="1">
        <v>5.0</v>
      </c>
      <c r="E480" s="1">
        <v>4.0</v>
      </c>
      <c r="F480" s="1">
        <v>26400.0</v>
      </c>
    </row>
    <row r="481">
      <c r="A481" s="1" t="s">
        <v>1043</v>
      </c>
      <c r="B481" s="1" t="s">
        <v>1044</v>
      </c>
      <c r="C481" s="15">
        <f>+36203873299</f>
        <v>36203873299</v>
      </c>
      <c r="D481" s="1">
        <v>4.0</v>
      </c>
      <c r="E481" s="1">
        <v>4.0</v>
      </c>
      <c r="F481" s="1">
        <v>35600.0</v>
      </c>
    </row>
    <row r="482">
      <c r="A482" s="1" t="s">
        <v>1045</v>
      </c>
      <c r="B482" s="1" t="s">
        <v>1046</v>
      </c>
      <c r="C482" s="15">
        <f>+36706013090</f>
        <v>36706013090</v>
      </c>
      <c r="D482" s="1">
        <v>3.0</v>
      </c>
      <c r="E482" s="1">
        <v>4.0</v>
      </c>
      <c r="F482" s="1">
        <v>39900.0</v>
      </c>
    </row>
    <row r="483">
      <c r="A483" s="1" t="s">
        <v>1047</v>
      </c>
      <c r="B483" s="1" t="s">
        <v>1048</v>
      </c>
      <c r="C483" s="15">
        <f>+36202099792</f>
        <v>36202099792</v>
      </c>
      <c r="D483" s="1">
        <v>5.0</v>
      </c>
      <c r="E483" s="1">
        <v>4.0</v>
      </c>
      <c r="F483" s="1">
        <v>54600.0</v>
      </c>
    </row>
    <row r="484">
      <c r="A484" s="1" t="s">
        <v>1049</v>
      </c>
      <c r="B484" s="1" t="s">
        <v>1050</v>
      </c>
      <c r="C484" s="15">
        <f>+36703982929</f>
        <v>36703982929</v>
      </c>
      <c r="D484" s="1">
        <v>4.0</v>
      </c>
      <c r="E484" s="1">
        <v>4.0</v>
      </c>
      <c r="F484" s="1">
        <v>37700.0</v>
      </c>
    </row>
    <row r="485">
      <c r="A485" s="1" t="s">
        <v>1051</v>
      </c>
      <c r="B485" s="1" t="s">
        <v>1052</v>
      </c>
      <c r="C485" s="15">
        <f>+36303877991</f>
        <v>36303877991</v>
      </c>
      <c r="D485" s="1">
        <v>3.0</v>
      </c>
      <c r="E485" s="1">
        <v>4.0</v>
      </c>
      <c r="F485" s="1">
        <v>42200.0</v>
      </c>
    </row>
    <row r="486">
      <c r="A486" s="1" t="s">
        <v>1053</v>
      </c>
      <c r="B486" s="1" t="s">
        <v>1054</v>
      </c>
      <c r="C486" s="15">
        <f>+36704551191</f>
        <v>36704551191</v>
      </c>
      <c r="D486" s="1">
        <v>5.0</v>
      </c>
      <c r="E486" s="1">
        <v>4.0</v>
      </c>
      <c r="F486" s="1">
        <v>37000.0</v>
      </c>
    </row>
    <row r="487">
      <c r="A487" s="1" t="s">
        <v>1055</v>
      </c>
      <c r="B487" s="1" t="s">
        <v>1056</v>
      </c>
      <c r="C487" s="15">
        <f>+36308641112</f>
        <v>36308641112</v>
      </c>
      <c r="D487" s="1">
        <v>5.0</v>
      </c>
      <c r="E487" s="1">
        <v>4.0</v>
      </c>
      <c r="F487" s="1">
        <v>42600.0</v>
      </c>
    </row>
    <row r="488">
      <c r="A488" s="1" t="s">
        <v>1057</v>
      </c>
      <c r="B488" s="1" t="s">
        <v>1058</v>
      </c>
      <c r="C488" s="15">
        <f>+36305879464</f>
        <v>36305879464</v>
      </c>
      <c r="D488" s="1">
        <v>4.0</v>
      </c>
      <c r="E488" s="1">
        <v>4.0</v>
      </c>
      <c r="F488" s="1">
        <v>34700.0</v>
      </c>
    </row>
    <row r="489">
      <c r="A489" s="1" t="s">
        <v>1059</v>
      </c>
      <c r="B489" s="1" t="s">
        <v>1060</v>
      </c>
      <c r="C489" s="15">
        <f>+36709039592</f>
        <v>36709039592</v>
      </c>
      <c r="D489" s="1">
        <v>4.0</v>
      </c>
      <c r="E489" s="1">
        <v>4.0</v>
      </c>
      <c r="F489" s="1">
        <v>72000.0</v>
      </c>
    </row>
    <row r="490">
      <c r="A490" s="1" t="s">
        <v>1061</v>
      </c>
      <c r="B490" s="1" t="s">
        <v>1062</v>
      </c>
      <c r="C490" s="15">
        <f>+36703427104</f>
        <v>36703427104</v>
      </c>
      <c r="D490" s="1">
        <v>3.0</v>
      </c>
      <c r="E490" s="1">
        <v>4.0</v>
      </c>
      <c r="F490" s="1">
        <v>46100.0</v>
      </c>
    </row>
    <row r="491">
      <c r="A491" s="1" t="s">
        <v>1063</v>
      </c>
      <c r="B491" s="1" t="s">
        <v>1064</v>
      </c>
      <c r="C491" s="15">
        <f>+36205000012</f>
        <v>36205000012</v>
      </c>
      <c r="D491" s="1">
        <v>4.0</v>
      </c>
      <c r="E491" s="1">
        <v>4.0</v>
      </c>
      <c r="F491" s="1">
        <v>34100.0</v>
      </c>
    </row>
    <row r="492">
      <c r="A492" s="1" t="s">
        <v>1065</v>
      </c>
      <c r="B492" s="1" t="s">
        <v>1066</v>
      </c>
      <c r="C492" s="15">
        <f>+36709487383</f>
        <v>36709487383</v>
      </c>
      <c r="D492" s="1">
        <v>4.0</v>
      </c>
      <c r="E492" s="1">
        <v>4.0</v>
      </c>
      <c r="F492" s="1">
        <v>38900.0</v>
      </c>
    </row>
    <row r="493">
      <c r="A493" s="1" t="s">
        <v>1067</v>
      </c>
      <c r="B493" s="1" t="s">
        <v>1068</v>
      </c>
      <c r="C493" s="15">
        <f>+36301096976</f>
        <v>36301096976</v>
      </c>
      <c r="D493" s="1">
        <v>7.0</v>
      </c>
      <c r="E493" s="1">
        <v>4.0</v>
      </c>
      <c r="F493" s="1">
        <v>58100.0</v>
      </c>
    </row>
    <row r="494">
      <c r="A494" s="1" t="s">
        <v>1069</v>
      </c>
      <c r="B494" s="1" t="s">
        <v>1070</v>
      </c>
      <c r="C494" s="15">
        <f>+36202147278</f>
        <v>36202147278</v>
      </c>
      <c r="D494" s="1">
        <v>3.0</v>
      </c>
      <c r="E494" s="1">
        <v>4.0</v>
      </c>
      <c r="F494" s="1">
        <v>37800.0</v>
      </c>
    </row>
    <row r="495">
      <c r="A495" s="1" t="s">
        <v>1071</v>
      </c>
      <c r="B495" s="1" t="s">
        <v>1072</v>
      </c>
      <c r="C495" s="15">
        <f>+40775237516</f>
        <v>40775237516</v>
      </c>
      <c r="D495" s="1">
        <v>4.0</v>
      </c>
      <c r="E495" s="1">
        <v>4.0</v>
      </c>
      <c r="F495" s="1">
        <v>31400.0</v>
      </c>
    </row>
    <row r="496">
      <c r="A496" s="1" t="s">
        <v>1073</v>
      </c>
      <c r="B496" s="1" t="s">
        <v>1074</v>
      </c>
      <c r="C496" s="15">
        <f>+36702451345</f>
        <v>36702451345</v>
      </c>
      <c r="D496" s="1">
        <v>5.0</v>
      </c>
      <c r="E496" s="1">
        <v>4.0</v>
      </c>
      <c r="F496" s="1">
        <v>35000.0</v>
      </c>
    </row>
    <row r="497">
      <c r="A497" s="1" t="s">
        <v>1075</v>
      </c>
      <c r="B497" s="1" t="s">
        <v>1076</v>
      </c>
      <c r="C497" s="15">
        <f>+36302100694</f>
        <v>36302100694</v>
      </c>
      <c r="D497" s="1">
        <v>4.0</v>
      </c>
      <c r="E497" s="1">
        <v>4.0</v>
      </c>
      <c r="F497" s="1">
        <v>49600.0</v>
      </c>
    </row>
    <row r="498">
      <c r="A498" s="1" t="s">
        <v>1077</v>
      </c>
      <c r="B498" s="1" t="s">
        <v>1078</v>
      </c>
      <c r="C498" s="15">
        <f>+36302666121</f>
        <v>36302666121</v>
      </c>
      <c r="D498" s="1">
        <v>4.0</v>
      </c>
      <c r="E498" s="1">
        <v>4.0</v>
      </c>
      <c r="F498" s="1">
        <v>42300.0</v>
      </c>
    </row>
    <row r="499">
      <c r="A499" s="1" t="s">
        <v>1079</v>
      </c>
      <c r="B499" s="1" t="s">
        <v>1080</v>
      </c>
      <c r="C499" s="15">
        <f>+36707745760</f>
        <v>36707745760</v>
      </c>
      <c r="D499" s="1">
        <v>4.0</v>
      </c>
      <c r="E499" s="1">
        <v>4.0</v>
      </c>
      <c r="F499" s="1">
        <v>30600.0</v>
      </c>
    </row>
    <row r="500">
      <c r="A500" s="1" t="s">
        <v>1081</v>
      </c>
      <c r="B500" s="1" t="s">
        <v>1082</v>
      </c>
      <c r="C500" s="15">
        <f>+36209335659</f>
        <v>36209335659</v>
      </c>
      <c r="D500" s="1">
        <v>3.0</v>
      </c>
      <c r="E500" s="1">
        <v>4.0</v>
      </c>
      <c r="F500" s="1">
        <v>33000.0</v>
      </c>
    </row>
    <row r="501">
      <c r="A501" s="1" t="s">
        <v>1083</v>
      </c>
      <c r="B501" s="1" t="s">
        <v>1084</v>
      </c>
      <c r="C501" s="15">
        <f>+36706283476</f>
        <v>36706283476</v>
      </c>
      <c r="D501" s="1">
        <v>4.0</v>
      </c>
      <c r="E501" s="1">
        <v>4.0</v>
      </c>
      <c r="F501" s="1">
        <v>37200.0</v>
      </c>
    </row>
    <row r="502">
      <c r="A502" s="1" t="s">
        <v>1085</v>
      </c>
      <c r="B502" s="1" t="s">
        <v>1086</v>
      </c>
      <c r="C502" s="15">
        <f>+36204676930</f>
        <v>36204676930</v>
      </c>
      <c r="D502" s="1">
        <v>2.0</v>
      </c>
      <c r="E502" s="1">
        <v>4.0</v>
      </c>
      <c r="F502" s="1">
        <v>44100.0</v>
      </c>
    </row>
    <row r="503">
      <c r="A503" s="1" t="s">
        <v>1087</v>
      </c>
      <c r="B503" s="1" t="s">
        <v>1088</v>
      </c>
      <c r="C503" s="15">
        <f>+36303352937</f>
        <v>36303352937</v>
      </c>
      <c r="D503" s="1">
        <v>4.0</v>
      </c>
      <c r="E503" s="1">
        <v>4.0</v>
      </c>
      <c r="F503" s="1">
        <v>44100.0</v>
      </c>
    </row>
    <row r="504">
      <c r="A504" s="1" t="s">
        <v>1089</v>
      </c>
      <c r="B504" s="1" t="s">
        <v>1090</v>
      </c>
      <c r="C504" s="15">
        <f>+36702301633</f>
        <v>36702301633</v>
      </c>
      <c r="D504" s="1">
        <v>4.0</v>
      </c>
      <c r="E504" s="1">
        <v>4.0</v>
      </c>
      <c r="F504" s="1">
        <v>61600.0</v>
      </c>
    </row>
    <row r="505">
      <c r="A505" s="1" t="s">
        <v>1091</v>
      </c>
      <c r="B505" s="1" t="s">
        <v>1092</v>
      </c>
      <c r="C505" s="15">
        <f>+36306128823</f>
        <v>36306128823</v>
      </c>
      <c r="D505" s="1">
        <v>5.0</v>
      </c>
      <c r="E505" s="1">
        <v>4.0</v>
      </c>
      <c r="F505" s="1">
        <v>31100.0</v>
      </c>
    </row>
    <row r="506">
      <c r="A506" s="1" t="s">
        <v>1093</v>
      </c>
      <c r="B506" s="1" t="s">
        <v>1094</v>
      </c>
      <c r="C506" s="15">
        <f>+36209469698</f>
        <v>36209469698</v>
      </c>
      <c r="D506" s="1">
        <v>4.0</v>
      </c>
      <c r="E506" s="1">
        <v>4.0</v>
      </c>
      <c r="F506" s="1">
        <v>41400.0</v>
      </c>
    </row>
    <row r="507">
      <c r="A507" s="1" t="s">
        <v>1095</v>
      </c>
      <c r="B507" s="1" t="s">
        <v>1096</v>
      </c>
      <c r="C507" s="15">
        <f>+36308410748</f>
        <v>36308410748</v>
      </c>
      <c r="D507" s="1">
        <v>4.0</v>
      </c>
      <c r="E507" s="1">
        <v>4.0</v>
      </c>
      <c r="F507" s="1">
        <v>37100.0</v>
      </c>
    </row>
    <row r="508">
      <c r="A508" s="1" t="s">
        <v>1097</v>
      </c>
      <c r="B508" s="1" t="s">
        <v>1098</v>
      </c>
      <c r="C508" s="15">
        <f>+36308162956</f>
        <v>36308162956</v>
      </c>
      <c r="D508" s="1">
        <v>3.0</v>
      </c>
      <c r="E508" s="1">
        <v>4.0</v>
      </c>
      <c r="F508" s="1">
        <v>44600.0</v>
      </c>
    </row>
    <row r="509">
      <c r="A509" s="1" t="s">
        <v>1099</v>
      </c>
      <c r="B509" s="1" t="s">
        <v>1100</v>
      </c>
      <c r="C509" s="15">
        <f>+36703114766</f>
        <v>36703114766</v>
      </c>
      <c r="D509" s="1">
        <v>4.0</v>
      </c>
      <c r="E509" s="1">
        <v>4.0</v>
      </c>
      <c r="F509" s="1">
        <v>45400.0</v>
      </c>
    </row>
    <row r="510">
      <c r="A510" s="1" t="s">
        <v>1101</v>
      </c>
      <c r="B510" s="1" t="s">
        <v>1102</v>
      </c>
      <c r="C510" s="15">
        <f>+36306432095</f>
        <v>36306432095</v>
      </c>
      <c r="D510" s="1">
        <v>4.0</v>
      </c>
      <c r="E510" s="1">
        <v>4.0</v>
      </c>
      <c r="F510" s="1">
        <v>35500.0</v>
      </c>
    </row>
    <row r="511">
      <c r="A511" s="1" t="s">
        <v>1103</v>
      </c>
      <c r="B511" s="1" t="s">
        <v>1104</v>
      </c>
      <c r="C511" s="15">
        <f>+36307891599</f>
        <v>36307891599</v>
      </c>
      <c r="D511" s="1">
        <v>3.0</v>
      </c>
      <c r="E511" s="1">
        <v>4.0</v>
      </c>
      <c r="F511" s="1">
        <v>32400.0</v>
      </c>
    </row>
    <row r="512">
      <c r="A512" s="1" t="s">
        <v>1105</v>
      </c>
      <c r="B512" s="1" t="s">
        <v>1106</v>
      </c>
      <c r="C512" s="15">
        <f>+36704326723</f>
        <v>36704326723</v>
      </c>
      <c r="D512" s="1">
        <v>3.0</v>
      </c>
      <c r="E512" s="1">
        <v>4.0</v>
      </c>
      <c r="F512" s="1">
        <v>37600.0</v>
      </c>
    </row>
    <row r="513">
      <c r="A513" s="1" t="s">
        <v>1107</v>
      </c>
      <c r="B513" s="1" t="s">
        <v>1108</v>
      </c>
      <c r="C513" s="15">
        <f>+447497415631</f>
        <v>447497415631</v>
      </c>
      <c r="D513" s="1">
        <v>4.0</v>
      </c>
      <c r="E513" s="1">
        <v>4.0</v>
      </c>
      <c r="F513" s="1">
        <v>43600.0</v>
      </c>
    </row>
    <row r="514">
      <c r="A514" s="1" t="s">
        <v>1109</v>
      </c>
      <c r="B514" s="1" t="s">
        <v>1110</v>
      </c>
      <c r="C514" s="15">
        <f>+36309725695</f>
        <v>36309725695</v>
      </c>
      <c r="D514" s="1">
        <v>3.0</v>
      </c>
      <c r="E514" s="1">
        <v>4.0</v>
      </c>
      <c r="F514" s="1">
        <v>27600.0</v>
      </c>
    </row>
    <row r="515">
      <c r="A515" s="1" t="s">
        <v>1111</v>
      </c>
      <c r="B515" s="1" t="s">
        <v>1112</v>
      </c>
      <c r="C515" s="15">
        <f>+36703378024</f>
        <v>36703378024</v>
      </c>
      <c r="D515" s="1">
        <v>2.0</v>
      </c>
      <c r="E515" s="1">
        <v>4.0</v>
      </c>
      <c r="F515" s="1">
        <v>38500.0</v>
      </c>
    </row>
    <row r="516">
      <c r="A516" s="1" t="s">
        <v>1113</v>
      </c>
      <c r="B516" s="1" t="s">
        <v>1114</v>
      </c>
      <c r="C516" s="15">
        <f>+36304441517</f>
        <v>36304441517</v>
      </c>
      <c r="D516" s="1">
        <v>4.0</v>
      </c>
      <c r="E516" s="1">
        <v>4.0</v>
      </c>
      <c r="F516" s="1">
        <v>36000.0</v>
      </c>
    </row>
    <row r="517">
      <c r="A517" s="1" t="s">
        <v>1115</v>
      </c>
      <c r="B517" s="1" t="s">
        <v>1116</v>
      </c>
      <c r="C517" s="15">
        <f>+36203183419</f>
        <v>36203183419</v>
      </c>
      <c r="D517" s="1">
        <v>3.0</v>
      </c>
      <c r="E517" s="1">
        <v>4.0</v>
      </c>
      <c r="F517" s="1">
        <v>40300.0</v>
      </c>
    </row>
    <row r="518">
      <c r="A518" s="1" t="s">
        <v>1117</v>
      </c>
      <c r="B518" s="1" t="s">
        <v>1118</v>
      </c>
      <c r="C518" s="15">
        <f>+36703697080</f>
        <v>36703697080</v>
      </c>
      <c r="D518" s="1">
        <v>5.0</v>
      </c>
      <c r="E518" s="1">
        <v>4.0</v>
      </c>
      <c r="F518" s="1">
        <v>55600.0</v>
      </c>
    </row>
    <row r="519">
      <c r="A519" s="1" t="s">
        <v>1119</v>
      </c>
      <c r="B519" s="1" t="s">
        <v>1120</v>
      </c>
      <c r="C519" s="15">
        <f>+36302192617</f>
        <v>36302192617</v>
      </c>
      <c r="D519" s="1">
        <v>4.0</v>
      </c>
      <c r="E519" s="1">
        <v>4.0</v>
      </c>
      <c r="F519" s="1">
        <v>62600.0</v>
      </c>
    </row>
    <row r="520">
      <c r="A520" s="1" t="s">
        <v>1121</v>
      </c>
      <c r="B520" s="1" t="s">
        <v>1122</v>
      </c>
      <c r="C520" s="15">
        <f>+36706089436</f>
        <v>36706089436</v>
      </c>
      <c r="D520" s="1">
        <v>6.0</v>
      </c>
      <c r="E520" s="1">
        <v>4.0</v>
      </c>
      <c r="F520" s="1">
        <v>54900.0</v>
      </c>
    </row>
    <row r="521">
      <c r="A521" s="1" t="s">
        <v>1123</v>
      </c>
      <c r="B521" s="1" t="s">
        <v>1124</v>
      </c>
      <c r="C521" s="15">
        <f>+36209937538</f>
        <v>36209937538</v>
      </c>
      <c r="D521" s="1">
        <v>4.0</v>
      </c>
      <c r="E521" s="1">
        <v>4.0</v>
      </c>
      <c r="F521" s="1">
        <v>37500.0</v>
      </c>
    </row>
    <row r="522">
      <c r="A522" s="1" t="s">
        <v>1125</v>
      </c>
      <c r="B522" s="1" t="s">
        <v>1126</v>
      </c>
      <c r="C522" s="15">
        <f>+36305569803</f>
        <v>36305569803</v>
      </c>
      <c r="D522" s="1">
        <v>3.0</v>
      </c>
      <c r="E522" s="1">
        <v>4.0</v>
      </c>
      <c r="F522" s="1">
        <v>52100.0</v>
      </c>
    </row>
    <row r="523">
      <c r="A523" s="1" t="s">
        <v>1127</v>
      </c>
      <c r="B523" s="1" t="s">
        <v>1128</v>
      </c>
      <c r="C523" s="15">
        <f>+36307089900</f>
        <v>36307089900</v>
      </c>
      <c r="D523" s="1">
        <v>6.0</v>
      </c>
      <c r="E523" s="1">
        <v>4.0</v>
      </c>
      <c r="F523" s="1">
        <v>40500.0</v>
      </c>
    </row>
    <row r="524">
      <c r="A524" s="1" t="s">
        <v>1129</v>
      </c>
      <c r="B524" s="1" t="s">
        <v>1130</v>
      </c>
      <c r="C524" s="15">
        <f>+36702040373</f>
        <v>36702040373</v>
      </c>
      <c r="D524" s="1">
        <v>5.0</v>
      </c>
      <c r="E524" s="1">
        <v>4.0</v>
      </c>
      <c r="F524" s="1">
        <v>41700.0</v>
      </c>
    </row>
    <row r="525">
      <c r="A525" s="1" t="s">
        <v>1131</v>
      </c>
      <c r="B525" s="1" t="s">
        <v>1132</v>
      </c>
      <c r="C525" s="15">
        <f>+36205134740</f>
        <v>36205134740</v>
      </c>
      <c r="D525" s="1">
        <v>3.0</v>
      </c>
      <c r="E525" s="1">
        <v>4.0</v>
      </c>
      <c r="F525" s="1">
        <v>41300.0</v>
      </c>
    </row>
    <row r="526">
      <c r="A526" s="1" t="s">
        <v>1133</v>
      </c>
      <c r="B526" s="1" t="s">
        <v>1134</v>
      </c>
      <c r="C526" s="15">
        <f>+36704213665</f>
        <v>36704213665</v>
      </c>
      <c r="D526" s="1">
        <v>4.0</v>
      </c>
      <c r="E526" s="1">
        <v>3.0</v>
      </c>
      <c r="F526" s="1">
        <v>52700.0</v>
      </c>
    </row>
    <row r="527">
      <c r="A527" s="1" t="s">
        <v>1135</v>
      </c>
      <c r="B527" s="1" t="s">
        <v>1136</v>
      </c>
      <c r="C527" s="15">
        <f>+36305537050</f>
        <v>36305537050</v>
      </c>
      <c r="D527" s="1">
        <v>4.0</v>
      </c>
      <c r="E527" s="1">
        <v>3.0</v>
      </c>
      <c r="F527" s="1">
        <v>30600.0</v>
      </c>
    </row>
    <row r="528">
      <c r="A528" s="1" t="s">
        <v>1137</v>
      </c>
      <c r="B528" s="1" t="s">
        <v>1138</v>
      </c>
      <c r="C528" s="15">
        <f>+36304287375</f>
        <v>36304287375</v>
      </c>
      <c r="D528" s="1">
        <v>2.0</v>
      </c>
      <c r="E528" s="1">
        <v>3.0</v>
      </c>
      <c r="F528" s="1">
        <v>33200.0</v>
      </c>
    </row>
    <row r="529">
      <c r="A529" s="1" t="s">
        <v>1139</v>
      </c>
      <c r="B529" s="1" t="s">
        <v>1140</v>
      </c>
      <c r="C529" s="15">
        <f>+36305590368</f>
        <v>36305590368</v>
      </c>
      <c r="D529" s="1">
        <v>4.0</v>
      </c>
      <c r="E529" s="1">
        <v>3.0</v>
      </c>
      <c r="F529" s="1">
        <v>46800.0</v>
      </c>
    </row>
    <row r="530">
      <c r="A530" s="1" t="s">
        <v>1141</v>
      </c>
      <c r="B530" s="1" t="s">
        <v>1142</v>
      </c>
      <c r="C530" s="15">
        <f>+36203443219</f>
        <v>36203443219</v>
      </c>
      <c r="D530" s="1">
        <v>3.0</v>
      </c>
      <c r="E530" s="1">
        <v>3.0</v>
      </c>
      <c r="F530" s="1">
        <v>27700.0</v>
      </c>
    </row>
    <row r="531">
      <c r="A531" s="1" t="s">
        <v>1143</v>
      </c>
      <c r="B531" s="1" t="s">
        <v>1144</v>
      </c>
      <c r="C531" s="15">
        <f>+36704102302</f>
        <v>36704102302</v>
      </c>
      <c r="D531" s="1">
        <v>3.0</v>
      </c>
      <c r="E531" s="1">
        <v>3.0</v>
      </c>
      <c r="F531" s="1">
        <v>21300.0</v>
      </c>
    </row>
    <row r="532">
      <c r="A532" s="1" t="s">
        <v>1145</v>
      </c>
      <c r="B532" s="1" t="s">
        <v>1146</v>
      </c>
      <c r="C532" s="15">
        <f>+36203462598</f>
        <v>36203462598</v>
      </c>
      <c r="D532" s="1">
        <v>3.0</v>
      </c>
      <c r="E532" s="1">
        <v>3.0</v>
      </c>
      <c r="F532" s="1">
        <v>42400.0</v>
      </c>
    </row>
    <row r="533">
      <c r="A533" s="1" t="s">
        <v>1147</v>
      </c>
      <c r="B533" s="1" t="s">
        <v>1148</v>
      </c>
      <c r="C533" s="15">
        <f>+36309115355</f>
        <v>36309115355</v>
      </c>
      <c r="D533" s="1">
        <v>2.0</v>
      </c>
      <c r="E533" s="1">
        <v>3.0</v>
      </c>
      <c r="F533" s="1">
        <v>29100.0</v>
      </c>
    </row>
    <row r="534">
      <c r="A534" s="1" t="s">
        <v>1149</v>
      </c>
      <c r="B534" s="1" t="s">
        <v>1150</v>
      </c>
      <c r="C534" s="15">
        <f>+36202609087</f>
        <v>36202609087</v>
      </c>
      <c r="D534" s="1">
        <v>3.0</v>
      </c>
      <c r="E534" s="1">
        <v>3.0</v>
      </c>
      <c r="F534" s="1">
        <v>22300.0</v>
      </c>
    </row>
    <row r="535">
      <c r="A535" s="1" t="s">
        <v>1151</v>
      </c>
      <c r="B535" s="1" t="s">
        <v>1152</v>
      </c>
      <c r="C535" s="15">
        <f>+36209651767</f>
        <v>36209651767</v>
      </c>
      <c r="D535" s="1">
        <v>3.0</v>
      </c>
      <c r="E535" s="1">
        <v>3.0</v>
      </c>
      <c r="F535" s="1">
        <v>33600.0</v>
      </c>
    </row>
    <row r="536">
      <c r="A536" s="1" t="s">
        <v>1153</v>
      </c>
      <c r="B536" s="1" t="s">
        <v>1154</v>
      </c>
      <c r="C536" s="15">
        <f>+40720811853</f>
        <v>40720811853</v>
      </c>
      <c r="D536" s="1">
        <v>3.0</v>
      </c>
      <c r="E536" s="1">
        <v>3.0</v>
      </c>
      <c r="F536" s="1">
        <v>66600.0</v>
      </c>
    </row>
    <row r="537">
      <c r="A537" s="1" t="s">
        <v>1155</v>
      </c>
      <c r="B537" s="1" t="s">
        <v>1156</v>
      </c>
      <c r="C537" s="15">
        <f>+36708867315</f>
        <v>36708867315</v>
      </c>
      <c r="D537" s="1">
        <v>3.0</v>
      </c>
      <c r="E537" s="1">
        <v>3.0</v>
      </c>
      <c r="F537" s="1">
        <v>25100.0</v>
      </c>
    </row>
    <row r="538">
      <c r="A538" s="1" t="s">
        <v>1157</v>
      </c>
      <c r="B538" s="1" t="s">
        <v>1158</v>
      </c>
      <c r="C538" s="15">
        <f>+36304443923</f>
        <v>36304443923</v>
      </c>
      <c r="D538" s="1">
        <v>2.0</v>
      </c>
      <c r="E538" s="1">
        <v>3.0</v>
      </c>
      <c r="F538" s="1">
        <v>25100.0</v>
      </c>
    </row>
    <row r="539">
      <c r="A539" s="1" t="s">
        <v>1159</v>
      </c>
      <c r="B539" s="1" t="s">
        <v>1160</v>
      </c>
      <c r="C539" s="15">
        <f>+36203901755</f>
        <v>36203901755</v>
      </c>
      <c r="D539" s="1">
        <v>3.0</v>
      </c>
      <c r="E539" s="1">
        <v>3.0</v>
      </c>
      <c r="F539" s="1">
        <v>30100.0</v>
      </c>
    </row>
    <row r="540">
      <c r="A540" s="1" t="s">
        <v>1161</v>
      </c>
      <c r="B540" s="1" t="s">
        <v>1162</v>
      </c>
      <c r="C540" s="15">
        <f>+36304781069</f>
        <v>36304781069</v>
      </c>
      <c r="D540" s="1">
        <v>3.0</v>
      </c>
      <c r="E540" s="1">
        <v>3.0</v>
      </c>
      <c r="F540" s="1">
        <v>25900.0</v>
      </c>
    </row>
    <row r="541">
      <c r="A541" s="1" t="s">
        <v>1163</v>
      </c>
      <c r="B541" s="1" t="s">
        <v>1164</v>
      </c>
      <c r="C541" s="15">
        <f>+36703740723</f>
        <v>36703740723</v>
      </c>
      <c r="D541" s="1">
        <v>3.0</v>
      </c>
      <c r="E541" s="1">
        <v>3.0</v>
      </c>
      <c r="F541" s="1">
        <v>29300.0</v>
      </c>
    </row>
    <row r="542">
      <c r="A542" s="1" t="s">
        <v>1165</v>
      </c>
      <c r="B542" s="1" t="s">
        <v>1166</v>
      </c>
      <c r="C542" s="15">
        <f>+36309911708</f>
        <v>36309911708</v>
      </c>
      <c r="D542" s="1">
        <v>2.0</v>
      </c>
      <c r="E542" s="1">
        <v>3.0</v>
      </c>
      <c r="F542" s="1">
        <v>29500.0</v>
      </c>
    </row>
    <row r="543">
      <c r="A543" s="1" t="s">
        <v>1167</v>
      </c>
      <c r="B543" s="1" t="s">
        <v>1168</v>
      </c>
      <c r="C543" s="15">
        <f>+36706189556</f>
        <v>36706189556</v>
      </c>
      <c r="D543" s="1">
        <v>3.0</v>
      </c>
      <c r="E543" s="1">
        <v>3.0</v>
      </c>
      <c r="F543" s="1">
        <v>35200.0</v>
      </c>
    </row>
    <row r="544">
      <c r="A544" s="1" t="s">
        <v>1169</v>
      </c>
      <c r="B544" s="1" t="s">
        <v>1170</v>
      </c>
      <c r="C544" s="15">
        <f>+36704166878</f>
        <v>36704166878</v>
      </c>
      <c r="D544" s="1">
        <v>2.0</v>
      </c>
      <c r="E544" s="1">
        <v>3.0</v>
      </c>
      <c r="F544" s="1">
        <v>20600.0</v>
      </c>
    </row>
    <row r="545">
      <c r="A545" s="1" t="s">
        <v>1171</v>
      </c>
      <c r="B545" s="1" t="s">
        <v>1172</v>
      </c>
      <c r="C545" s="15">
        <f>+36703851731</f>
        <v>36703851731</v>
      </c>
      <c r="D545" s="1">
        <v>2.0</v>
      </c>
      <c r="E545" s="1">
        <v>3.0</v>
      </c>
      <c r="F545" s="1">
        <v>30800.0</v>
      </c>
    </row>
    <row r="546">
      <c r="A546" s="1" t="s">
        <v>1173</v>
      </c>
      <c r="B546" s="1" t="s">
        <v>1174</v>
      </c>
      <c r="C546" s="15">
        <f>+36707702925</f>
        <v>36707702925</v>
      </c>
      <c r="D546" s="1">
        <v>3.0</v>
      </c>
      <c r="E546" s="1">
        <v>3.0</v>
      </c>
      <c r="F546" s="1">
        <v>31700.0</v>
      </c>
    </row>
    <row r="547">
      <c r="A547" s="1" t="s">
        <v>1175</v>
      </c>
      <c r="B547" s="1" t="s">
        <v>1176</v>
      </c>
      <c r="C547" s="15">
        <f>+36205236591</f>
        <v>36205236591</v>
      </c>
      <c r="D547" s="1">
        <v>3.0</v>
      </c>
      <c r="E547" s="1">
        <v>3.0</v>
      </c>
      <c r="F547" s="1">
        <v>29000.0</v>
      </c>
    </row>
    <row r="548">
      <c r="A548" s="1" t="s">
        <v>1177</v>
      </c>
      <c r="B548" s="1" t="s">
        <v>1178</v>
      </c>
      <c r="C548" s="15">
        <f>+421949373735</f>
        <v>421949373735</v>
      </c>
      <c r="D548" s="1">
        <v>2.0</v>
      </c>
      <c r="E548" s="1">
        <v>3.0</v>
      </c>
      <c r="F548" s="1">
        <v>26600.0</v>
      </c>
    </row>
    <row r="549">
      <c r="A549" s="1" t="s">
        <v>1179</v>
      </c>
      <c r="B549" s="1" t="s">
        <v>1180</v>
      </c>
      <c r="C549" s="15">
        <f>+36302673313</f>
        <v>36302673313</v>
      </c>
      <c r="D549" s="1">
        <v>2.0</v>
      </c>
      <c r="E549" s="1">
        <v>3.0</v>
      </c>
      <c r="F549" s="1">
        <v>25000.0</v>
      </c>
    </row>
    <row r="550">
      <c r="A550" s="1" t="s">
        <v>1181</v>
      </c>
      <c r="B550" s="1" t="s">
        <v>1182</v>
      </c>
      <c r="C550" s="15">
        <f>+36303611082</f>
        <v>36303611082</v>
      </c>
      <c r="D550" s="1">
        <v>3.0</v>
      </c>
      <c r="E550" s="1">
        <v>3.0</v>
      </c>
      <c r="F550" s="1">
        <v>25100.0</v>
      </c>
    </row>
    <row r="551">
      <c r="A551" s="1" t="s">
        <v>1183</v>
      </c>
      <c r="B551" s="1" t="s">
        <v>1184</v>
      </c>
      <c r="C551" s="15">
        <f>+36302341778</f>
        <v>36302341778</v>
      </c>
      <c r="D551" s="1">
        <v>2.0</v>
      </c>
      <c r="E551" s="1">
        <v>3.0</v>
      </c>
      <c r="F551" s="1">
        <v>43800.0</v>
      </c>
    </row>
    <row r="552">
      <c r="A552" s="1" t="s">
        <v>1185</v>
      </c>
      <c r="B552" s="1" t="s">
        <v>1186</v>
      </c>
      <c r="C552" s="15">
        <f>+36306504466</f>
        <v>36306504466</v>
      </c>
      <c r="D552" s="1">
        <v>4.0</v>
      </c>
      <c r="E552" s="1">
        <v>3.0</v>
      </c>
      <c r="F552" s="1">
        <v>50100.0</v>
      </c>
    </row>
    <row r="553">
      <c r="A553" s="1" t="s">
        <v>1187</v>
      </c>
      <c r="B553" s="1" t="s">
        <v>1188</v>
      </c>
      <c r="C553" s="15">
        <f>+36305100200</f>
        <v>36305100200</v>
      </c>
      <c r="D553" s="1">
        <v>2.0</v>
      </c>
      <c r="E553" s="1">
        <v>3.0</v>
      </c>
      <c r="F553" s="1">
        <v>37900.0</v>
      </c>
    </row>
    <row r="554">
      <c r="A554" s="1" t="s">
        <v>1189</v>
      </c>
      <c r="B554" s="1" t="s">
        <v>1190</v>
      </c>
      <c r="C554" s="15">
        <f>+36704264892</f>
        <v>36704264892</v>
      </c>
      <c r="D554" s="1">
        <v>3.0</v>
      </c>
      <c r="E554" s="1">
        <v>3.0</v>
      </c>
      <c r="F554" s="1">
        <v>25800.0</v>
      </c>
    </row>
    <row r="555">
      <c r="A555" s="1" t="s">
        <v>1191</v>
      </c>
      <c r="B555" s="1" t="s">
        <v>1192</v>
      </c>
      <c r="C555" s="15">
        <f>+36204072294</f>
        <v>36204072294</v>
      </c>
      <c r="D555" s="1">
        <v>2.0</v>
      </c>
      <c r="E555" s="1">
        <v>3.0</v>
      </c>
      <c r="F555" s="1">
        <v>27900.0</v>
      </c>
    </row>
    <row r="556">
      <c r="A556" s="1" t="s">
        <v>1193</v>
      </c>
      <c r="B556" s="1" t="s">
        <v>1194</v>
      </c>
      <c r="C556" s="15">
        <f>+36704093811</f>
        <v>36704093811</v>
      </c>
      <c r="D556" s="1">
        <v>1.0</v>
      </c>
      <c r="E556" s="1">
        <v>3.0</v>
      </c>
      <c r="F556" s="1">
        <v>35400.0</v>
      </c>
    </row>
    <row r="557">
      <c r="A557" s="1" t="s">
        <v>1195</v>
      </c>
      <c r="B557" s="1" t="s">
        <v>1196</v>
      </c>
      <c r="C557" s="15">
        <f>+36202777088</f>
        <v>36202777088</v>
      </c>
      <c r="D557" s="1">
        <v>3.0</v>
      </c>
      <c r="E557" s="1">
        <v>3.0</v>
      </c>
      <c r="F557" s="1">
        <v>17400.0</v>
      </c>
    </row>
    <row r="558">
      <c r="A558" s="1" t="s">
        <v>1197</v>
      </c>
      <c r="B558" s="1" t="s">
        <v>1198</v>
      </c>
      <c r="C558" s="15">
        <f>+36205739179</f>
        <v>36205739179</v>
      </c>
      <c r="D558" s="1">
        <v>3.0</v>
      </c>
      <c r="E558" s="1">
        <v>3.0</v>
      </c>
      <c r="F558" s="1">
        <v>31700.0</v>
      </c>
    </row>
    <row r="559">
      <c r="A559" s="1" t="s">
        <v>1199</v>
      </c>
      <c r="B559" s="1" t="s">
        <v>1200</v>
      </c>
      <c r="C559" s="15">
        <f>+36305898078</f>
        <v>36305898078</v>
      </c>
      <c r="D559" s="1">
        <v>4.0</v>
      </c>
      <c r="E559" s="1">
        <v>3.0</v>
      </c>
      <c r="F559" s="1">
        <v>35500.0</v>
      </c>
    </row>
    <row r="560">
      <c r="A560" s="1" t="s">
        <v>1201</v>
      </c>
      <c r="B560" s="1" t="s">
        <v>1202</v>
      </c>
      <c r="C560" s="15">
        <f>+36706132837</f>
        <v>36706132837</v>
      </c>
      <c r="D560" s="1">
        <v>3.0</v>
      </c>
      <c r="E560" s="1">
        <v>3.0</v>
      </c>
      <c r="F560" s="1">
        <v>29300.0</v>
      </c>
    </row>
    <row r="561">
      <c r="A561" s="1" t="s">
        <v>1203</v>
      </c>
      <c r="B561" s="1" t="s">
        <v>1204</v>
      </c>
      <c r="C561" s="15">
        <f>+36704554799</f>
        <v>36704554799</v>
      </c>
      <c r="D561" s="1">
        <v>4.0</v>
      </c>
      <c r="E561" s="1">
        <v>3.0</v>
      </c>
      <c r="F561" s="1">
        <v>44400.0</v>
      </c>
    </row>
    <row r="562">
      <c r="A562" s="1" t="s">
        <v>1205</v>
      </c>
      <c r="B562" s="1" t="s">
        <v>1206</v>
      </c>
      <c r="C562" s="15">
        <f>+36703117484</f>
        <v>36703117484</v>
      </c>
      <c r="D562" s="1">
        <v>2.0</v>
      </c>
      <c r="E562" s="1">
        <v>3.0</v>
      </c>
      <c r="F562" s="1">
        <v>27600.0</v>
      </c>
    </row>
    <row r="563">
      <c r="A563" s="1" t="s">
        <v>1207</v>
      </c>
      <c r="B563" s="1" t="s">
        <v>1208</v>
      </c>
      <c r="C563" s="15">
        <f>+36303654884</f>
        <v>36303654884</v>
      </c>
      <c r="D563" s="1">
        <v>2.0</v>
      </c>
      <c r="E563" s="1">
        <v>3.0</v>
      </c>
      <c r="F563" s="1">
        <v>27400.0</v>
      </c>
    </row>
    <row r="564">
      <c r="A564" s="1" t="s">
        <v>1209</v>
      </c>
      <c r="B564" s="1" t="s">
        <v>1210</v>
      </c>
      <c r="C564" s="15">
        <f>+36703392904</f>
        <v>36703392904</v>
      </c>
      <c r="D564" s="1">
        <v>3.0</v>
      </c>
      <c r="E564" s="1">
        <v>3.0</v>
      </c>
      <c r="F564" s="1">
        <v>36000.0</v>
      </c>
    </row>
    <row r="565">
      <c r="A565" s="1" t="s">
        <v>1211</v>
      </c>
      <c r="B565" s="1" t="s">
        <v>1212</v>
      </c>
      <c r="C565" s="15">
        <f>+36309148262</f>
        <v>36309148262</v>
      </c>
      <c r="D565" s="1">
        <v>3.0</v>
      </c>
      <c r="E565" s="1">
        <v>3.0</v>
      </c>
      <c r="F565" s="1">
        <v>35300.0</v>
      </c>
    </row>
    <row r="566">
      <c r="A566" s="1" t="s">
        <v>1213</v>
      </c>
      <c r="B566" s="1" t="s">
        <v>1214</v>
      </c>
      <c r="C566" s="15">
        <f>+36204719041</f>
        <v>36204719041</v>
      </c>
      <c r="D566" s="1">
        <v>4.0</v>
      </c>
      <c r="E566" s="1">
        <v>3.0</v>
      </c>
      <c r="F566" s="1">
        <v>60800.0</v>
      </c>
    </row>
    <row r="567">
      <c r="A567" s="1" t="s">
        <v>1215</v>
      </c>
      <c r="B567" s="1" t="s">
        <v>1216</v>
      </c>
      <c r="C567" s="15">
        <f>+36309625188</f>
        <v>36309625188</v>
      </c>
      <c r="D567" s="1">
        <v>3.0</v>
      </c>
      <c r="E567" s="1">
        <v>3.0</v>
      </c>
      <c r="F567" s="1">
        <v>30400.0</v>
      </c>
    </row>
    <row r="568">
      <c r="A568" s="1" t="s">
        <v>1217</v>
      </c>
      <c r="B568" s="1" t="s">
        <v>1218</v>
      </c>
      <c r="C568" s="15">
        <f>+36203662447</f>
        <v>36203662447</v>
      </c>
      <c r="D568" s="1">
        <v>2.0</v>
      </c>
      <c r="E568" s="1">
        <v>3.0</v>
      </c>
      <c r="F568" s="1">
        <v>36400.0</v>
      </c>
    </row>
    <row r="569">
      <c r="A569" s="1" t="s">
        <v>1219</v>
      </c>
      <c r="B569" s="1" t="s">
        <v>1220</v>
      </c>
      <c r="C569" s="15">
        <f>+36702456079</f>
        <v>36702456079</v>
      </c>
      <c r="D569" s="1">
        <v>2.0</v>
      </c>
      <c r="E569" s="1">
        <v>3.0</v>
      </c>
      <c r="F569" s="1">
        <v>26600.0</v>
      </c>
    </row>
    <row r="570">
      <c r="A570" s="1" t="s">
        <v>1221</v>
      </c>
      <c r="B570" s="1" t="s">
        <v>1222</v>
      </c>
      <c r="C570" s="15">
        <f>+36705967676</f>
        <v>36705967676</v>
      </c>
      <c r="D570" s="1">
        <v>3.0</v>
      </c>
      <c r="E570" s="1">
        <v>3.0</v>
      </c>
      <c r="F570" s="1">
        <v>32900.0</v>
      </c>
    </row>
    <row r="571">
      <c r="A571" s="1" t="s">
        <v>1223</v>
      </c>
      <c r="B571" s="1" t="s">
        <v>1224</v>
      </c>
      <c r="C571" s="15">
        <f>+36705097026</f>
        <v>36705097026</v>
      </c>
      <c r="D571" s="1">
        <v>3.0</v>
      </c>
      <c r="E571" s="1">
        <v>3.0</v>
      </c>
      <c r="F571" s="1">
        <v>26900.0</v>
      </c>
    </row>
    <row r="572">
      <c r="A572" s="1" t="s">
        <v>1225</v>
      </c>
      <c r="B572" s="1" t="s">
        <v>1226</v>
      </c>
      <c r="C572" s="15">
        <f>+36304989475</f>
        <v>36304989475</v>
      </c>
      <c r="D572" s="1">
        <v>3.0</v>
      </c>
      <c r="E572" s="1">
        <v>3.0</v>
      </c>
      <c r="F572" s="1">
        <v>28000.0</v>
      </c>
    </row>
    <row r="573">
      <c r="A573" s="1" t="s">
        <v>1227</v>
      </c>
      <c r="B573" s="1" t="s">
        <v>1228</v>
      </c>
      <c r="C573" s="15">
        <f>+36305488357</f>
        <v>36305488357</v>
      </c>
      <c r="D573" s="1">
        <v>2.0</v>
      </c>
      <c r="E573" s="1">
        <v>3.0</v>
      </c>
      <c r="F573" s="1">
        <v>32700.0</v>
      </c>
    </row>
    <row r="574">
      <c r="A574" s="1" t="s">
        <v>1229</v>
      </c>
      <c r="B574" s="1" t="s">
        <v>1230</v>
      </c>
      <c r="C574" s="15">
        <f>+36301933199</f>
        <v>36301933199</v>
      </c>
      <c r="D574" s="1">
        <v>4.0</v>
      </c>
      <c r="E574" s="1">
        <v>3.0</v>
      </c>
      <c r="F574" s="1">
        <v>22300.0</v>
      </c>
    </row>
    <row r="575">
      <c r="A575" s="1" t="s">
        <v>1231</v>
      </c>
      <c r="B575" s="1" t="s">
        <v>1232</v>
      </c>
      <c r="C575" s="15">
        <f>+36307895181</f>
        <v>36307895181</v>
      </c>
      <c r="D575" s="1">
        <v>3.0</v>
      </c>
      <c r="E575" s="1">
        <v>3.0</v>
      </c>
      <c r="F575" s="1">
        <v>40200.0</v>
      </c>
    </row>
    <row r="576">
      <c r="A576" s="1" t="s">
        <v>1233</v>
      </c>
      <c r="B576" s="1" t="s">
        <v>1234</v>
      </c>
      <c r="C576" s="15">
        <f>+36305441256</f>
        <v>36305441256</v>
      </c>
      <c r="D576" s="1">
        <v>3.0</v>
      </c>
      <c r="E576" s="1">
        <v>3.0</v>
      </c>
      <c r="F576" s="1">
        <v>22200.0</v>
      </c>
    </row>
    <row r="577">
      <c r="A577" s="1" t="s">
        <v>1235</v>
      </c>
      <c r="B577" s="1" t="s">
        <v>1236</v>
      </c>
      <c r="C577" s="15">
        <f>+36707081921</f>
        <v>36707081921</v>
      </c>
      <c r="D577" s="1">
        <v>1.0</v>
      </c>
      <c r="E577" s="1">
        <v>3.0</v>
      </c>
      <c r="F577" s="1">
        <v>35100.0</v>
      </c>
    </row>
    <row r="578">
      <c r="A578" s="1" t="s">
        <v>1237</v>
      </c>
      <c r="B578" s="1" t="s">
        <v>1238</v>
      </c>
      <c r="C578" s="15">
        <f>+36305557685</f>
        <v>36305557685</v>
      </c>
      <c r="D578" s="1">
        <v>5.0</v>
      </c>
      <c r="E578" s="1">
        <v>3.0</v>
      </c>
      <c r="F578" s="1">
        <v>48600.0</v>
      </c>
    </row>
    <row r="579">
      <c r="A579" s="1" t="s">
        <v>1239</v>
      </c>
      <c r="B579" s="1" t="s">
        <v>1240</v>
      </c>
      <c r="C579" s="15">
        <f>+36706381972</f>
        <v>36706381972</v>
      </c>
      <c r="D579" s="1">
        <v>3.0</v>
      </c>
      <c r="E579" s="1">
        <v>3.0</v>
      </c>
      <c r="F579" s="1">
        <v>33400.0</v>
      </c>
    </row>
    <row r="580">
      <c r="A580" s="1" t="s">
        <v>1241</v>
      </c>
      <c r="B580" s="1" t="s">
        <v>1242</v>
      </c>
      <c r="C580" s="15">
        <f>+36302580488</f>
        <v>36302580488</v>
      </c>
      <c r="D580" s="1">
        <v>4.0</v>
      </c>
      <c r="E580" s="1">
        <v>3.0</v>
      </c>
      <c r="F580" s="1">
        <v>29100.0</v>
      </c>
    </row>
    <row r="581">
      <c r="A581" s="1" t="s">
        <v>1243</v>
      </c>
      <c r="B581" s="1" t="s">
        <v>1244</v>
      </c>
      <c r="C581" s="15">
        <f>+36705319617</f>
        <v>36705319617</v>
      </c>
      <c r="D581" s="1">
        <v>2.0</v>
      </c>
      <c r="E581" s="1">
        <v>3.0</v>
      </c>
      <c r="F581" s="1">
        <v>60400.0</v>
      </c>
    </row>
    <row r="582">
      <c r="A582" s="1" t="s">
        <v>1245</v>
      </c>
      <c r="B582" s="1" t="s">
        <v>1246</v>
      </c>
      <c r="C582" s="15">
        <f>+36309068569</f>
        <v>36309068569</v>
      </c>
      <c r="D582" s="1">
        <v>3.0</v>
      </c>
      <c r="E582" s="1">
        <v>3.0</v>
      </c>
      <c r="F582" s="1">
        <v>64600.0</v>
      </c>
    </row>
    <row r="583">
      <c r="A583" s="1" t="s">
        <v>1247</v>
      </c>
      <c r="B583" s="1" t="s">
        <v>1248</v>
      </c>
      <c r="C583" s="15">
        <f>+36306201075</f>
        <v>36306201075</v>
      </c>
      <c r="D583" s="1">
        <v>4.0</v>
      </c>
      <c r="E583" s="1">
        <v>3.0</v>
      </c>
      <c r="F583" s="1">
        <v>40300.0</v>
      </c>
    </row>
    <row r="584">
      <c r="A584" s="1" t="s">
        <v>1249</v>
      </c>
      <c r="B584" s="1" t="s">
        <v>1250</v>
      </c>
      <c r="C584" s="15">
        <f>+36705866191</f>
        <v>36705866191</v>
      </c>
      <c r="D584" s="1">
        <v>3.0</v>
      </c>
      <c r="E584" s="1">
        <v>3.0</v>
      </c>
      <c r="F584" s="1">
        <v>49900.0</v>
      </c>
    </row>
    <row r="585">
      <c r="A585" s="1" t="s">
        <v>1251</v>
      </c>
      <c r="B585" s="1" t="s">
        <v>1252</v>
      </c>
      <c r="C585" s="15">
        <f>+36303933595</f>
        <v>36303933595</v>
      </c>
      <c r="D585" s="1">
        <v>2.0</v>
      </c>
      <c r="E585" s="1">
        <v>3.0</v>
      </c>
      <c r="F585" s="1">
        <v>28600.0</v>
      </c>
    </row>
    <row r="586">
      <c r="A586" s="1" t="s">
        <v>1253</v>
      </c>
      <c r="B586" s="1" t="s">
        <v>1254</v>
      </c>
      <c r="C586" s="15">
        <f>+36308266769</f>
        <v>36308266769</v>
      </c>
      <c r="D586" s="1">
        <v>3.0</v>
      </c>
      <c r="E586" s="1">
        <v>3.0</v>
      </c>
      <c r="F586" s="1">
        <v>37900.0</v>
      </c>
    </row>
    <row r="587">
      <c r="A587" s="1" t="s">
        <v>1255</v>
      </c>
      <c r="B587" s="1" t="s">
        <v>1256</v>
      </c>
      <c r="C587" s="15">
        <f>+36302770678</f>
        <v>36302770678</v>
      </c>
      <c r="D587" s="1">
        <v>3.0</v>
      </c>
      <c r="E587" s="1">
        <v>3.0</v>
      </c>
      <c r="F587" s="1">
        <v>31400.0</v>
      </c>
    </row>
    <row r="588">
      <c r="A588" s="1" t="s">
        <v>1257</v>
      </c>
      <c r="B588" s="1" t="s">
        <v>1258</v>
      </c>
      <c r="C588" s="15">
        <f>+36205856865</f>
        <v>36205856865</v>
      </c>
      <c r="D588" s="1">
        <v>4.0</v>
      </c>
      <c r="E588" s="1">
        <v>3.0</v>
      </c>
      <c r="F588" s="1">
        <v>28800.0</v>
      </c>
    </row>
    <row r="589">
      <c r="A589" s="1" t="s">
        <v>1259</v>
      </c>
      <c r="B589" s="1" t="s">
        <v>1260</v>
      </c>
      <c r="C589" s="15">
        <f>+36209911535</f>
        <v>36209911535</v>
      </c>
      <c r="D589" s="1">
        <v>6.0</v>
      </c>
      <c r="E589" s="1">
        <v>3.0</v>
      </c>
      <c r="F589" s="1">
        <v>141700.0</v>
      </c>
    </row>
    <row r="590">
      <c r="A590" s="1" t="s">
        <v>1261</v>
      </c>
      <c r="B590" s="1" t="s">
        <v>1262</v>
      </c>
      <c r="C590" s="15">
        <f>+36302268807</f>
        <v>36302268807</v>
      </c>
      <c r="D590" s="1">
        <v>2.0</v>
      </c>
      <c r="E590" s="1">
        <v>3.0</v>
      </c>
      <c r="F590" s="1">
        <v>34000.0</v>
      </c>
    </row>
    <row r="591">
      <c r="A591" s="1" t="s">
        <v>1263</v>
      </c>
      <c r="B591" s="1" t="s">
        <v>1264</v>
      </c>
      <c r="C591" s="15">
        <f>+36709381691</f>
        <v>36709381691</v>
      </c>
      <c r="D591" s="1">
        <v>2.0</v>
      </c>
      <c r="E591" s="1">
        <v>3.0</v>
      </c>
      <c r="F591" s="1">
        <v>34000.0</v>
      </c>
    </row>
    <row r="592">
      <c r="A592" s="1" t="s">
        <v>1265</v>
      </c>
      <c r="B592" s="1" t="s">
        <v>1266</v>
      </c>
      <c r="C592" s="15">
        <f>+36706386799</f>
        <v>36706386799</v>
      </c>
      <c r="D592" s="1">
        <v>5.0</v>
      </c>
      <c r="E592" s="1">
        <v>3.0</v>
      </c>
      <c r="F592" s="1">
        <v>45300.0</v>
      </c>
    </row>
    <row r="593">
      <c r="A593" s="1" t="s">
        <v>1267</v>
      </c>
      <c r="B593" s="1" t="s">
        <v>1268</v>
      </c>
      <c r="C593" s="15">
        <f>+36202925059</f>
        <v>36202925059</v>
      </c>
      <c r="D593" s="1">
        <v>2.0</v>
      </c>
      <c r="E593" s="1">
        <v>3.0</v>
      </c>
      <c r="F593" s="1">
        <v>30800.0</v>
      </c>
    </row>
    <row r="594">
      <c r="A594" s="1" t="s">
        <v>1269</v>
      </c>
      <c r="B594" s="1" t="s">
        <v>1270</v>
      </c>
      <c r="C594" s="15">
        <f>+36304101583</f>
        <v>36304101583</v>
      </c>
      <c r="D594" s="1">
        <v>3.0</v>
      </c>
      <c r="E594" s="1">
        <v>3.0</v>
      </c>
      <c r="F594" s="1">
        <v>25800.0</v>
      </c>
    </row>
    <row r="595">
      <c r="A595" s="1" t="s">
        <v>1271</v>
      </c>
      <c r="B595" s="1" t="s">
        <v>1272</v>
      </c>
      <c r="C595" s="15">
        <f>+36705597104</f>
        <v>36705597104</v>
      </c>
      <c r="D595" s="1">
        <v>5.0</v>
      </c>
      <c r="E595" s="1">
        <v>3.0</v>
      </c>
      <c r="F595" s="1">
        <v>26800.0</v>
      </c>
    </row>
    <row r="596">
      <c r="A596" s="1" t="s">
        <v>1273</v>
      </c>
      <c r="B596" s="1" t="s">
        <v>1274</v>
      </c>
      <c r="C596" s="15">
        <f>+36306914506</f>
        <v>36306914506</v>
      </c>
      <c r="D596" s="1">
        <v>3.0</v>
      </c>
      <c r="E596" s="1">
        <v>3.0</v>
      </c>
      <c r="F596" s="1">
        <v>26900.0</v>
      </c>
    </row>
    <row r="597">
      <c r="A597" s="1" t="s">
        <v>1275</v>
      </c>
      <c r="B597" s="1" t="s">
        <v>1276</v>
      </c>
      <c r="C597" s="15">
        <f>+36300961076</f>
        <v>36300961076</v>
      </c>
      <c r="D597" s="1">
        <v>3.0</v>
      </c>
      <c r="E597" s="1">
        <v>3.0</v>
      </c>
      <c r="F597" s="1">
        <v>37200.0</v>
      </c>
    </row>
    <row r="598">
      <c r="A598" s="1" t="s">
        <v>1277</v>
      </c>
      <c r="B598" s="1" t="s">
        <v>1278</v>
      </c>
      <c r="C598" s="15">
        <f>+36303005881</f>
        <v>36303005881</v>
      </c>
      <c r="D598" s="1">
        <v>3.0</v>
      </c>
      <c r="E598" s="1">
        <v>3.0</v>
      </c>
      <c r="F598" s="1">
        <v>35000.0</v>
      </c>
    </row>
    <row r="599">
      <c r="A599" s="1" t="s">
        <v>1279</v>
      </c>
      <c r="B599" s="1" t="s">
        <v>1280</v>
      </c>
      <c r="C599" s="15">
        <f>+36306456108</f>
        <v>36306456108</v>
      </c>
      <c r="D599" s="1">
        <v>2.0</v>
      </c>
      <c r="E599" s="1">
        <v>3.0</v>
      </c>
      <c r="F599" s="1">
        <v>27400.0</v>
      </c>
    </row>
    <row r="600">
      <c r="A600" s="1" t="s">
        <v>1281</v>
      </c>
      <c r="B600" s="1" t="s">
        <v>1282</v>
      </c>
      <c r="C600" s="15">
        <f>+36309718053</f>
        <v>36309718053</v>
      </c>
      <c r="D600" s="1">
        <v>3.0</v>
      </c>
      <c r="E600" s="1">
        <v>3.0</v>
      </c>
      <c r="F600" s="1">
        <v>30900.0</v>
      </c>
    </row>
    <row r="601">
      <c r="A601" s="1" t="s">
        <v>1283</v>
      </c>
      <c r="B601" s="1" t="s">
        <v>1284</v>
      </c>
      <c r="C601" s="15">
        <f>+36202653137</f>
        <v>36202653137</v>
      </c>
      <c r="D601" s="1">
        <v>2.0</v>
      </c>
      <c r="E601" s="1">
        <v>3.0</v>
      </c>
      <c r="F601" s="1">
        <v>46500.0</v>
      </c>
    </row>
    <row r="602">
      <c r="A602" s="1" t="s">
        <v>1285</v>
      </c>
      <c r="B602" s="1" t="s">
        <v>1286</v>
      </c>
      <c r="C602" s="15">
        <f>+36307791426</f>
        <v>36307791426</v>
      </c>
      <c r="D602" s="1">
        <v>3.0</v>
      </c>
      <c r="E602" s="1">
        <v>3.0</v>
      </c>
      <c r="F602" s="1">
        <v>41100.0</v>
      </c>
    </row>
    <row r="603">
      <c r="A603" s="1" t="s">
        <v>1287</v>
      </c>
      <c r="B603" s="1" t="s">
        <v>1288</v>
      </c>
      <c r="C603" s="15">
        <f>+36703977577</f>
        <v>36703977577</v>
      </c>
      <c r="D603" s="1">
        <v>4.0</v>
      </c>
      <c r="E603" s="1">
        <v>3.0</v>
      </c>
      <c r="F603" s="1">
        <v>41000.0</v>
      </c>
    </row>
    <row r="604">
      <c r="A604" s="1" t="s">
        <v>1289</v>
      </c>
      <c r="B604" s="1" t="s">
        <v>1290</v>
      </c>
      <c r="C604" s="15">
        <f>+36305461376</f>
        <v>36305461376</v>
      </c>
      <c r="D604" s="1">
        <v>4.0</v>
      </c>
      <c r="E604" s="1">
        <v>3.0</v>
      </c>
      <c r="F604" s="1">
        <v>69000.0</v>
      </c>
    </row>
    <row r="605">
      <c r="A605" s="1" t="s">
        <v>1291</v>
      </c>
      <c r="B605" s="1" t="s">
        <v>1292</v>
      </c>
      <c r="C605" s="15">
        <f>+36202797003</f>
        <v>36202797003</v>
      </c>
      <c r="D605" s="1">
        <v>3.0</v>
      </c>
      <c r="E605" s="1">
        <v>3.0</v>
      </c>
      <c r="F605" s="1">
        <v>27600.0</v>
      </c>
    </row>
    <row r="606">
      <c r="A606" s="1" t="s">
        <v>1293</v>
      </c>
      <c r="B606" s="1" t="s">
        <v>1294</v>
      </c>
      <c r="C606" s="15">
        <f>+36307911786</f>
        <v>36307911786</v>
      </c>
      <c r="D606" s="1">
        <v>2.0</v>
      </c>
      <c r="E606" s="1">
        <v>3.0</v>
      </c>
      <c r="F606" s="1">
        <v>28600.0</v>
      </c>
    </row>
    <row r="607">
      <c r="A607" s="1" t="s">
        <v>1295</v>
      </c>
      <c r="B607" s="1" t="s">
        <v>1296</v>
      </c>
      <c r="C607" s="15">
        <f>+36204374749</f>
        <v>36204374749</v>
      </c>
      <c r="D607" s="1">
        <v>2.0</v>
      </c>
      <c r="E607" s="1">
        <v>3.0</v>
      </c>
      <c r="F607" s="1">
        <v>25100.0</v>
      </c>
    </row>
    <row r="608">
      <c r="A608" s="1" t="s">
        <v>1297</v>
      </c>
      <c r="B608" s="1" t="s">
        <v>1298</v>
      </c>
      <c r="C608" s="15">
        <f>+36704092492</f>
        <v>36704092492</v>
      </c>
      <c r="D608" s="1">
        <v>3.0</v>
      </c>
      <c r="E608" s="1">
        <v>3.0</v>
      </c>
      <c r="F608" s="1">
        <v>37500.0</v>
      </c>
    </row>
    <row r="609">
      <c r="A609" s="1" t="s">
        <v>1299</v>
      </c>
      <c r="B609" s="1" t="s">
        <v>1300</v>
      </c>
      <c r="C609" s="15">
        <f>+36303371649</f>
        <v>36303371649</v>
      </c>
      <c r="D609" s="1">
        <v>4.0</v>
      </c>
      <c r="E609" s="1">
        <v>3.0</v>
      </c>
      <c r="F609" s="1">
        <v>33600.0</v>
      </c>
    </row>
    <row r="610">
      <c r="A610" s="1" t="s">
        <v>1301</v>
      </c>
      <c r="B610" s="1" t="s">
        <v>1302</v>
      </c>
      <c r="C610" s="15">
        <f>+36209441816</f>
        <v>36209441816</v>
      </c>
      <c r="D610" s="1">
        <v>3.0</v>
      </c>
      <c r="E610" s="1">
        <v>3.0</v>
      </c>
      <c r="F610" s="1">
        <v>21600.0</v>
      </c>
    </row>
    <row r="611">
      <c r="A611" s="1" t="s">
        <v>1303</v>
      </c>
      <c r="B611" s="1" t="s">
        <v>1304</v>
      </c>
      <c r="C611" s="15">
        <f>+36307681347</f>
        <v>36307681347</v>
      </c>
      <c r="D611" s="1">
        <v>3.0</v>
      </c>
      <c r="E611" s="1">
        <v>3.0</v>
      </c>
      <c r="F611" s="1">
        <v>35200.0</v>
      </c>
    </row>
    <row r="612">
      <c r="A612" s="1" t="s">
        <v>1305</v>
      </c>
      <c r="B612" s="1" t="s">
        <v>1306</v>
      </c>
      <c r="C612" s="15">
        <f>+40773959207</f>
        <v>40773959207</v>
      </c>
      <c r="D612" s="1">
        <v>4.0</v>
      </c>
      <c r="E612" s="1">
        <v>3.0</v>
      </c>
      <c r="F612" s="1">
        <v>28600.0</v>
      </c>
    </row>
    <row r="613">
      <c r="A613" s="1" t="s">
        <v>1307</v>
      </c>
      <c r="B613" s="1" t="s">
        <v>1308</v>
      </c>
      <c r="C613" s="15">
        <f>+36202596999</f>
        <v>36202596999</v>
      </c>
      <c r="D613" s="1">
        <v>3.0</v>
      </c>
      <c r="E613" s="1">
        <v>3.0</v>
      </c>
      <c r="F613" s="1">
        <v>31200.0</v>
      </c>
    </row>
    <row r="614">
      <c r="A614" s="1" t="s">
        <v>1309</v>
      </c>
      <c r="B614" s="1" t="s">
        <v>1310</v>
      </c>
      <c r="C614" s="15">
        <f>+36304761507</f>
        <v>36304761507</v>
      </c>
      <c r="D614" s="1">
        <v>5.0</v>
      </c>
      <c r="E614" s="1">
        <v>3.0</v>
      </c>
      <c r="F614" s="1">
        <v>89600.0</v>
      </c>
    </row>
    <row r="615">
      <c r="A615" s="1" t="s">
        <v>1311</v>
      </c>
      <c r="B615" s="1" t="s">
        <v>1312</v>
      </c>
      <c r="C615" s="15">
        <f>+36709499489</f>
        <v>36709499489</v>
      </c>
      <c r="D615" s="1">
        <v>3.0</v>
      </c>
      <c r="E615" s="1">
        <v>3.0</v>
      </c>
      <c r="F615" s="1">
        <v>27800.0</v>
      </c>
    </row>
    <row r="616">
      <c r="A616" s="1" t="s">
        <v>1313</v>
      </c>
      <c r="B616" s="1" t="s">
        <v>1314</v>
      </c>
      <c r="C616" s="15">
        <f>+40756618273</f>
        <v>40756618273</v>
      </c>
      <c r="D616" s="1">
        <v>1.0</v>
      </c>
      <c r="E616" s="1">
        <v>3.0</v>
      </c>
      <c r="F616" s="1">
        <v>27000.0</v>
      </c>
    </row>
    <row r="617">
      <c r="A617" s="1" t="s">
        <v>1315</v>
      </c>
      <c r="B617" s="1" t="s">
        <v>1316</v>
      </c>
      <c r="C617" s="15">
        <f>+36704209378</f>
        <v>36704209378</v>
      </c>
      <c r="D617" s="1">
        <v>2.0</v>
      </c>
      <c r="E617" s="1">
        <v>3.0</v>
      </c>
      <c r="F617" s="1">
        <v>26100.0</v>
      </c>
    </row>
    <row r="618">
      <c r="A618" s="1" t="s">
        <v>1317</v>
      </c>
      <c r="B618" s="1" t="s">
        <v>1318</v>
      </c>
      <c r="C618" s="15">
        <f>+36209992299</f>
        <v>36209992299</v>
      </c>
      <c r="D618" s="1">
        <v>3.0</v>
      </c>
      <c r="E618" s="1">
        <v>3.0</v>
      </c>
      <c r="F618" s="1">
        <v>35200.0</v>
      </c>
    </row>
    <row r="619">
      <c r="A619" s="1" t="s">
        <v>1319</v>
      </c>
      <c r="B619" s="1" t="s">
        <v>1320</v>
      </c>
      <c r="C619" s="15">
        <f>+36204551606</f>
        <v>36204551606</v>
      </c>
      <c r="D619" s="1">
        <v>4.0</v>
      </c>
      <c r="E619" s="1">
        <v>3.0</v>
      </c>
      <c r="F619" s="1">
        <v>34400.0</v>
      </c>
    </row>
    <row r="620">
      <c r="A620" s="1" t="s">
        <v>1321</v>
      </c>
      <c r="B620" s="1" t="s">
        <v>1322</v>
      </c>
      <c r="C620" s="15">
        <f>+36304252660</f>
        <v>36304252660</v>
      </c>
      <c r="D620" s="1">
        <v>3.0</v>
      </c>
      <c r="E620" s="1">
        <v>3.0</v>
      </c>
      <c r="F620" s="1">
        <v>28500.0</v>
      </c>
    </row>
    <row r="621">
      <c r="A621" s="1" t="s">
        <v>1323</v>
      </c>
      <c r="B621" s="1" t="s">
        <v>1324</v>
      </c>
      <c r="C621" s="15">
        <f>+36204005787</f>
        <v>36204005787</v>
      </c>
      <c r="D621" s="1">
        <v>2.0</v>
      </c>
      <c r="E621" s="1">
        <v>3.0</v>
      </c>
      <c r="F621" s="1">
        <v>38800.0</v>
      </c>
    </row>
    <row r="622">
      <c r="A622" s="1" t="s">
        <v>1325</v>
      </c>
      <c r="B622" s="1" t="s">
        <v>1326</v>
      </c>
      <c r="C622" s="15">
        <f>+36307033599</f>
        <v>36307033599</v>
      </c>
      <c r="D622" s="1">
        <v>3.0</v>
      </c>
      <c r="E622" s="1">
        <v>3.0</v>
      </c>
      <c r="F622" s="1">
        <v>35100.0</v>
      </c>
    </row>
    <row r="623">
      <c r="A623" s="1" t="s">
        <v>1327</v>
      </c>
      <c r="B623" s="1" t="s">
        <v>1328</v>
      </c>
      <c r="C623" s="15">
        <f>+36703410082</f>
        <v>36703410082</v>
      </c>
      <c r="D623" s="1">
        <v>2.0</v>
      </c>
      <c r="E623" s="1">
        <v>3.0</v>
      </c>
      <c r="F623" s="1">
        <v>47600.0</v>
      </c>
    </row>
    <row r="624">
      <c r="A624" s="1" t="s">
        <v>1329</v>
      </c>
      <c r="B624" s="1" t="s">
        <v>1330</v>
      </c>
      <c r="C624" s="15">
        <f>+36703265098</f>
        <v>36703265098</v>
      </c>
      <c r="D624" s="1">
        <v>4.0</v>
      </c>
      <c r="E624" s="1">
        <v>3.0</v>
      </c>
      <c r="F624" s="1">
        <v>22500.0</v>
      </c>
    </row>
    <row r="625">
      <c r="A625" s="1" t="s">
        <v>1331</v>
      </c>
      <c r="B625" s="1" t="s">
        <v>1332</v>
      </c>
      <c r="C625" s="15">
        <f>+36703671676</f>
        <v>36703671676</v>
      </c>
      <c r="D625" s="1">
        <v>3.0</v>
      </c>
      <c r="E625" s="1">
        <v>3.0</v>
      </c>
      <c r="F625" s="1">
        <v>56900.0</v>
      </c>
    </row>
    <row r="626">
      <c r="A626" s="1" t="s">
        <v>1333</v>
      </c>
      <c r="B626" s="1" t="s">
        <v>1334</v>
      </c>
      <c r="C626" s="15">
        <f>+36307372306</f>
        <v>36307372306</v>
      </c>
      <c r="D626" s="1">
        <v>2.0</v>
      </c>
      <c r="E626" s="1">
        <v>3.0</v>
      </c>
      <c r="F626" s="1">
        <v>34000.0</v>
      </c>
    </row>
    <row r="627">
      <c r="A627" s="1" t="s">
        <v>1335</v>
      </c>
      <c r="B627" s="1" t="s">
        <v>1336</v>
      </c>
      <c r="C627" s="15">
        <f>+36203550818</f>
        <v>36203550818</v>
      </c>
      <c r="D627" s="1">
        <v>3.0</v>
      </c>
      <c r="E627" s="1">
        <v>3.0</v>
      </c>
      <c r="F627" s="1">
        <v>26900.0</v>
      </c>
    </row>
    <row r="628">
      <c r="A628" s="1" t="s">
        <v>1337</v>
      </c>
      <c r="B628" s="1" t="s">
        <v>1338</v>
      </c>
      <c r="C628" s="15">
        <f>+36704369277</f>
        <v>36704369277</v>
      </c>
      <c r="D628" s="1">
        <v>1.0</v>
      </c>
      <c r="E628" s="1">
        <v>3.0</v>
      </c>
      <c r="F628" s="1">
        <v>28200.0</v>
      </c>
    </row>
    <row r="629">
      <c r="A629" s="1" t="s">
        <v>1339</v>
      </c>
      <c r="B629" s="1" t="s">
        <v>1340</v>
      </c>
      <c r="C629" s="15">
        <f>+36303980094</f>
        <v>36303980094</v>
      </c>
      <c r="D629" s="1">
        <v>1.0</v>
      </c>
      <c r="E629" s="1">
        <v>3.0</v>
      </c>
      <c r="F629" s="1">
        <v>27000.0</v>
      </c>
    </row>
    <row r="630">
      <c r="A630" s="1" t="s">
        <v>1341</v>
      </c>
      <c r="B630" s="1" t="s">
        <v>1342</v>
      </c>
      <c r="C630" s="15">
        <f>+36207785340</f>
        <v>36207785340</v>
      </c>
      <c r="D630" s="1">
        <v>3.0</v>
      </c>
      <c r="E630" s="1">
        <v>3.0</v>
      </c>
      <c r="F630" s="1">
        <v>48200.0</v>
      </c>
    </row>
    <row r="631">
      <c r="A631" s="1" t="s">
        <v>1343</v>
      </c>
      <c r="B631" s="1" t="s">
        <v>1344</v>
      </c>
      <c r="C631" s="15">
        <f>+36203522382</f>
        <v>36203522382</v>
      </c>
      <c r="D631" s="1">
        <v>3.0</v>
      </c>
      <c r="E631" s="1">
        <v>3.0</v>
      </c>
      <c r="F631" s="1">
        <v>24200.0</v>
      </c>
    </row>
    <row r="632">
      <c r="A632" s="1" t="s">
        <v>1345</v>
      </c>
      <c r="B632" s="1" t="s">
        <v>1346</v>
      </c>
      <c r="C632" s="15">
        <f>+36707856310</f>
        <v>36707856310</v>
      </c>
      <c r="D632" s="1">
        <v>3.0</v>
      </c>
      <c r="E632" s="1">
        <v>3.0</v>
      </c>
      <c r="F632" s="1">
        <v>35200.0</v>
      </c>
    </row>
    <row r="633">
      <c r="A633" s="1" t="s">
        <v>1347</v>
      </c>
      <c r="B633" s="1" t="s">
        <v>1348</v>
      </c>
      <c r="C633" s="15">
        <f>+36209814694</f>
        <v>36209814694</v>
      </c>
      <c r="D633" s="1">
        <v>3.0</v>
      </c>
      <c r="E633" s="1">
        <v>3.0</v>
      </c>
      <c r="F633" s="1">
        <v>25800.0</v>
      </c>
    </row>
    <row r="634">
      <c r="A634" s="1" t="s">
        <v>1349</v>
      </c>
      <c r="B634" s="1" t="s">
        <v>1350</v>
      </c>
      <c r="C634" s="15">
        <f>+36205391333</f>
        <v>36205391333</v>
      </c>
      <c r="D634" s="1">
        <v>3.0</v>
      </c>
      <c r="E634" s="1">
        <v>3.0</v>
      </c>
      <c r="F634" s="1">
        <v>25100.0</v>
      </c>
    </row>
    <row r="635">
      <c r="A635" s="1" t="s">
        <v>1351</v>
      </c>
      <c r="B635" s="1" t="s">
        <v>1352</v>
      </c>
      <c r="C635" s="15">
        <f>+36204606678</f>
        <v>36204606678</v>
      </c>
      <c r="D635" s="1">
        <v>4.0</v>
      </c>
      <c r="E635" s="1">
        <v>3.0</v>
      </c>
      <c r="F635" s="1">
        <v>26800.0</v>
      </c>
    </row>
    <row r="636">
      <c r="A636" s="1" t="s">
        <v>1353</v>
      </c>
      <c r="B636" s="1" t="s">
        <v>1354</v>
      </c>
      <c r="C636" s="15">
        <f>+36309569209</f>
        <v>36309569209</v>
      </c>
      <c r="D636" s="1">
        <v>1.0</v>
      </c>
      <c r="E636" s="1">
        <v>3.0</v>
      </c>
      <c r="F636" s="1">
        <v>38400.0</v>
      </c>
    </row>
    <row r="637">
      <c r="A637" s="1" t="s">
        <v>1355</v>
      </c>
      <c r="B637" s="1" t="s">
        <v>1356</v>
      </c>
      <c r="C637" s="15">
        <f>+36203873881</f>
        <v>36203873881</v>
      </c>
      <c r="D637" s="1">
        <v>5.0</v>
      </c>
      <c r="E637" s="1">
        <v>3.0</v>
      </c>
      <c r="F637" s="1">
        <v>43600.0</v>
      </c>
    </row>
    <row r="638">
      <c r="A638" s="1" t="s">
        <v>1357</v>
      </c>
      <c r="B638" s="1" t="s">
        <v>1358</v>
      </c>
      <c r="C638" s="15">
        <f>+36305780605</f>
        <v>36305780605</v>
      </c>
      <c r="D638" s="1">
        <v>3.0</v>
      </c>
      <c r="E638" s="1">
        <v>3.0</v>
      </c>
      <c r="F638" s="1">
        <v>25500.0</v>
      </c>
    </row>
    <row r="639">
      <c r="A639" s="1" t="s">
        <v>1359</v>
      </c>
      <c r="B639" s="1" t="s">
        <v>1360</v>
      </c>
      <c r="C639" s="15">
        <f>+36306616107</f>
        <v>36306616107</v>
      </c>
      <c r="D639" s="1">
        <v>4.0</v>
      </c>
      <c r="E639" s="1">
        <v>3.0</v>
      </c>
      <c r="F639" s="1">
        <v>63000.0</v>
      </c>
    </row>
    <row r="640">
      <c r="A640" s="1" t="s">
        <v>1361</v>
      </c>
      <c r="B640" s="1" t="s">
        <v>1362</v>
      </c>
      <c r="C640" s="15">
        <f>+36308707151</f>
        <v>36308707151</v>
      </c>
      <c r="D640" s="1">
        <v>3.0</v>
      </c>
      <c r="E640" s="1">
        <v>3.0</v>
      </c>
      <c r="F640" s="1">
        <v>30600.0</v>
      </c>
    </row>
    <row r="641">
      <c r="A641" s="1" t="s">
        <v>1363</v>
      </c>
      <c r="B641" s="1" t="s">
        <v>1364</v>
      </c>
      <c r="C641" s="15">
        <f>+36203608954</f>
        <v>36203608954</v>
      </c>
      <c r="D641" s="1">
        <v>3.0</v>
      </c>
      <c r="E641" s="1">
        <v>3.0</v>
      </c>
      <c r="F641" s="1">
        <v>28600.0</v>
      </c>
    </row>
    <row r="642">
      <c r="A642" s="1" t="s">
        <v>1365</v>
      </c>
      <c r="B642" s="1" t="s">
        <v>1366</v>
      </c>
      <c r="C642" s="15">
        <f>+36204805715</f>
        <v>36204805715</v>
      </c>
      <c r="D642" s="1">
        <v>3.0</v>
      </c>
      <c r="E642" s="1">
        <v>3.0</v>
      </c>
      <c r="F642" s="1">
        <v>51800.0</v>
      </c>
    </row>
    <row r="643">
      <c r="A643" s="1" t="s">
        <v>1367</v>
      </c>
      <c r="B643" s="1" t="s">
        <v>1368</v>
      </c>
      <c r="C643" s="15">
        <f>+36703640587</f>
        <v>36703640587</v>
      </c>
      <c r="D643" s="1">
        <v>3.0</v>
      </c>
      <c r="E643" s="1">
        <v>3.0</v>
      </c>
      <c r="F643" s="1">
        <v>25700.0</v>
      </c>
    </row>
    <row r="644">
      <c r="A644" s="1" t="s">
        <v>1369</v>
      </c>
      <c r="B644" s="1" t="s">
        <v>1370</v>
      </c>
      <c r="C644" s="15">
        <f>+36307168040</f>
        <v>36307168040</v>
      </c>
      <c r="D644" s="1">
        <v>3.0</v>
      </c>
      <c r="E644" s="1">
        <v>3.0</v>
      </c>
      <c r="F644" s="1">
        <v>37900.0</v>
      </c>
    </row>
    <row r="645">
      <c r="A645" s="1" t="s">
        <v>1371</v>
      </c>
      <c r="B645" s="1" t="s">
        <v>1372</v>
      </c>
      <c r="C645" s="15">
        <f>+36302997749</f>
        <v>36302997749</v>
      </c>
      <c r="D645" s="1">
        <v>4.0</v>
      </c>
      <c r="E645" s="1">
        <v>3.0</v>
      </c>
      <c r="F645" s="1">
        <v>24500.0</v>
      </c>
    </row>
    <row r="646">
      <c r="A646" s="1" t="s">
        <v>1373</v>
      </c>
      <c r="B646" s="1" t="s">
        <v>1374</v>
      </c>
      <c r="C646" s="15">
        <f>+36303122545</f>
        <v>36303122545</v>
      </c>
      <c r="D646" s="1">
        <v>3.0</v>
      </c>
      <c r="E646" s="1">
        <v>3.0</v>
      </c>
      <c r="F646" s="1">
        <v>28700.0</v>
      </c>
    </row>
    <row r="647">
      <c r="A647" s="1" t="s">
        <v>1375</v>
      </c>
      <c r="B647" s="1" t="s">
        <v>1376</v>
      </c>
      <c r="C647" s="15">
        <f>+36704550043</f>
        <v>36704550043</v>
      </c>
      <c r="D647" s="1">
        <v>3.0</v>
      </c>
      <c r="E647" s="1">
        <v>3.0</v>
      </c>
      <c r="F647" s="1">
        <v>40800.0</v>
      </c>
    </row>
    <row r="648">
      <c r="A648" s="1" t="s">
        <v>1377</v>
      </c>
      <c r="B648" s="1" t="s">
        <v>1378</v>
      </c>
      <c r="C648" s="15">
        <f>+36303667868</f>
        <v>36303667868</v>
      </c>
      <c r="D648" s="1">
        <v>2.0</v>
      </c>
      <c r="E648" s="1">
        <v>3.0</v>
      </c>
      <c r="F648" s="1">
        <v>25000.0</v>
      </c>
    </row>
    <row r="649">
      <c r="A649" s="1" t="s">
        <v>1379</v>
      </c>
      <c r="B649" s="1" t="s">
        <v>1380</v>
      </c>
      <c r="C649" s="15">
        <f>+36307429533</f>
        <v>36307429533</v>
      </c>
      <c r="D649" s="1">
        <v>4.0</v>
      </c>
      <c r="E649" s="1">
        <v>3.0</v>
      </c>
      <c r="F649" s="1">
        <v>27900.0</v>
      </c>
    </row>
    <row r="650">
      <c r="A650" s="1" t="s">
        <v>1381</v>
      </c>
      <c r="B650" s="1" t="s">
        <v>1382</v>
      </c>
      <c r="C650" s="15">
        <f>+36309341939</f>
        <v>36309341939</v>
      </c>
      <c r="D650" s="1">
        <v>3.0</v>
      </c>
      <c r="E650" s="1">
        <v>3.0</v>
      </c>
      <c r="F650" s="1">
        <v>40500.0</v>
      </c>
    </row>
    <row r="651">
      <c r="A651" s="1" t="s">
        <v>1383</v>
      </c>
      <c r="B651" s="1" t="s">
        <v>1384</v>
      </c>
      <c r="C651" s="15">
        <f>+36205680956</f>
        <v>36205680956</v>
      </c>
      <c r="D651" s="1">
        <v>4.0</v>
      </c>
      <c r="E651" s="1">
        <v>3.0</v>
      </c>
      <c r="F651" s="1">
        <v>45300.0</v>
      </c>
    </row>
    <row r="652">
      <c r="A652" s="1" t="s">
        <v>1385</v>
      </c>
      <c r="B652" s="1" t="s">
        <v>1386</v>
      </c>
      <c r="C652" s="15">
        <f>+36703165136</f>
        <v>36703165136</v>
      </c>
      <c r="D652" s="1">
        <v>2.0</v>
      </c>
      <c r="E652" s="1">
        <v>3.0</v>
      </c>
      <c r="F652" s="1">
        <v>29800.0</v>
      </c>
    </row>
    <row r="653">
      <c r="A653" s="1" t="s">
        <v>1387</v>
      </c>
      <c r="B653" s="1" t="s">
        <v>1388</v>
      </c>
      <c r="C653" s="15">
        <f>+36306883647</f>
        <v>36306883647</v>
      </c>
      <c r="D653" s="1">
        <v>3.0</v>
      </c>
      <c r="E653" s="1">
        <v>3.0</v>
      </c>
      <c r="F653" s="1">
        <v>26800.0</v>
      </c>
    </row>
    <row r="654">
      <c r="A654" s="1" t="s">
        <v>1389</v>
      </c>
      <c r="B654" s="1" t="s">
        <v>1390</v>
      </c>
      <c r="C654" s="15">
        <f>+36303696084</f>
        <v>36303696084</v>
      </c>
      <c r="D654" s="1">
        <v>3.0</v>
      </c>
      <c r="E654" s="1">
        <v>3.0</v>
      </c>
      <c r="F654" s="1">
        <v>26100.0</v>
      </c>
    </row>
    <row r="655">
      <c r="A655" s="1" t="s">
        <v>1391</v>
      </c>
      <c r="B655" s="1" t="s">
        <v>1392</v>
      </c>
      <c r="C655" s="15">
        <f>+36704515800</f>
        <v>36704515800</v>
      </c>
      <c r="D655" s="1">
        <v>3.0</v>
      </c>
      <c r="E655" s="1">
        <v>3.0</v>
      </c>
      <c r="F655" s="1">
        <v>39100.0</v>
      </c>
    </row>
    <row r="656">
      <c r="A656" s="1" t="s">
        <v>1393</v>
      </c>
      <c r="B656" s="1" t="s">
        <v>1394</v>
      </c>
      <c r="C656" s="15">
        <f>+36209708579</f>
        <v>36209708579</v>
      </c>
      <c r="D656" s="1">
        <v>2.0</v>
      </c>
      <c r="E656" s="1">
        <v>3.0</v>
      </c>
      <c r="F656" s="1">
        <v>33900.0</v>
      </c>
    </row>
    <row r="657">
      <c r="A657" s="1" t="s">
        <v>1395</v>
      </c>
      <c r="B657" s="1" t="s">
        <v>1396</v>
      </c>
      <c r="C657" s="15">
        <f>+36709343164</f>
        <v>36709343164</v>
      </c>
      <c r="D657" s="1">
        <v>3.0</v>
      </c>
      <c r="E657" s="1">
        <v>3.0</v>
      </c>
      <c r="F657" s="1">
        <v>28800.0</v>
      </c>
    </row>
    <row r="658">
      <c r="A658" s="1" t="s">
        <v>1397</v>
      </c>
      <c r="B658" s="1" t="s">
        <v>1398</v>
      </c>
      <c r="C658" s="15">
        <f>+36707730204</f>
        <v>36707730204</v>
      </c>
      <c r="D658" s="1">
        <v>4.0</v>
      </c>
      <c r="E658" s="1">
        <v>3.0</v>
      </c>
      <c r="F658" s="1">
        <v>39600.0</v>
      </c>
    </row>
    <row r="659">
      <c r="A659" s="1" t="s">
        <v>1399</v>
      </c>
      <c r="B659" s="1" t="s">
        <v>1400</v>
      </c>
      <c r="C659" s="15">
        <f>+36302813471</f>
        <v>36302813471</v>
      </c>
      <c r="D659" s="1">
        <v>5.0</v>
      </c>
      <c r="E659" s="1">
        <v>3.0</v>
      </c>
      <c r="F659" s="1">
        <v>0.0</v>
      </c>
    </row>
    <row r="660">
      <c r="A660" s="1" t="s">
        <v>1401</v>
      </c>
      <c r="B660" s="1" t="s">
        <v>1402</v>
      </c>
      <c r="C660" s="15">
        <f>+36205331877</f>
        <v>36205331877</v>
      </c>
      <c r="D660" s="1">
        <v>3.0</v>
      </c>
      <c r="E660" s="1">
        <v>3.0</v>
      </c>
      <c r="F660" s="1">
        <v>36300.0</v>
      </c>
    </row>
    <row r="661">
      <c r="A661" s="1" t="s">
        <v>1403</v>
      </c>
      <c r="B661" s="1" t="s">
        <v>1404</v>
      </c>
      <c r="C661" s="15">
        <f>+36306580830</f>
        <v>36306580830</v>
      </c>
      <c r="D661" s="1">
        <v>2.0</v>
      </c>
      <c r="E661" s="1">
        <v>3.0</v>
      </c>
      <c r="F661" s="1">
        <v>25000.0</v>
      </c>
    </row>
    <row r="662">
      <c r="A662" s="1" t="s">
        <v>1405</v>
      </c>
      <c r="B662" s="1" t="s">
        <v>1406</v>
      </c>
      <c r="C662" s="15">
        <f>+36703889531</f>
        <v>36703889531</v>
      </c>
      <c r="D662" s="1">
        <v>3.0</v>
      </c>
      <c r="E662" s="1">
        <v>3.0</v>
      </c>
      <c r="F662" s="1">
        <v>39700.0</v>
      </c>
    </row>
    <row r="663">
      <c r="A663" s="1" t="s">
        <v>1407</v>
      </c>
      <c r="B663" s="1" t="s">
        <v>1408</v>
      </c>
      <c r="C663" s="15">
        <f>+36204530335</f>
        <v>36204530335</v>
      </c>
      <c r="D663" s="1">
        <v>1.0</v>
      </c>
      <c r="E663" s="1">
        <v>3.0</v>
      </c>
      <c r="F663" s="1">
        <v>39000.0</v>
      </c>
    </row>
    <row r="664">
      <c r="A664" s="1" t="s">
        <v>1409</v>
      </c>
      <c r="B664" s="1" t="s">
        <v>1410</v>
      </c>
      <c r="C664" s="15">
        <f>+36309347896</f>
        <v>36309347896</v>
      </c>
      <c r="D664" s="1">
        <v>3.0</v>
      </c>
      <c r="E664" s="1">
        <v>3.0</v>
      </c>
      <c r="F664" s="1">
        <v>27200.0</v>
      </c>
    </row>
    <row r="665">
      <c r="A665" s="1" t="s">
        <v>1411</v>
      </c>
      <c r="B665" s="1" t="s">
        <v>1412</v>
      </c>
      <c r="C665" s="15">
        <f>+36309954313</f>
        <v>36309954313</v>
      </c>
      <c r="D665" s="1">
        <v>3.0</v>
      </c>
      <c r="E665" s="1">
        <v>3.0</v>
      </c>
      <c r="F665" s="1">
        <v>26000.0</v>
      </c>
    </row>
    <row r="666">
      <c r="A666" s="1" t="s">
        <v>1413</v>
      </c>
      <c r="B666" s="1" t="s">
        <v>1414</v>
      </c>
      <c r="C666" s="15">
        <f>+36205480847</f>
        <v>36205480847</v>
      </c>
      <c r="D666" s="1">
        <v>3.0</v>
      </c>
      <c r="E666" s="1">
        <v>3.0</v>
      </c>
      <c r="F666" s="1">
        <v>24900.0</v>
      </c>
    </row>
    <row r="667">
      <c r="A667" s="1" t="s">
        <v>1415</v>
      </c>
      <c r="B667" s="1" t="s">
        <v>1416</v>
      </c>
      <c r="C667" s="15">
        <f>+36209920367</f>
        <v>36209920367</v>
      </c>
      <c r="D667" s="1">
        <v>3.0</v>
      </c>
      <c r="E667" s="1">
        <v>3.0</v>
      </c>
      <c r="F667" s="1">
        <v>38000.0</v>
      </c>
    </row>
    <row r="668">
      <c r="A668" s="1" t="s">
        <v>1417</v>
      </c>
      <c r="B668" s="1" t="s">
        <v>1418</v>
      </c>
      <c r="C668" s="15">
        <f>+36309280813</f>
        <v>36309280813</v>
      </c>
      <c r="D668" s="1">
        <v>5.0</v>
      </c>
      <c r="E668" s="1">
        <v>3.0</v>
      </c>
      <c r="F668" s="1">
        <v>22100.0</v>
      </c>
    </row>
    <row r="669">
      <c r="A669" s="1" t="s">
        <v>1419</v>
      </c>
      <c r="B669" s="1" t="s">
        <v>1420</v>
      </c>
      <c r="C669" s="15">
        <f>+36303915344</f>
        <v>36303915344</v>
      </c>
      <c r="D669" s="1">
        <v>2.0</v>
      </c>
      <c r="E669" s="1">
        <v>3.0</v>
      </c>
      <c r="F669" s="1">
        <v>8700.0</v>
      </c>
    </row>
    <row r="670">
      <c r="A670" s="1" t="s">
        <v>1421</v>
      </c>
      <c r="B670" s="1" t="s">
        <v>1422</v>
      </c>
      <c r="C670" s="15">
        <f>+36702589996</f>
        <v>36702589996</v>
      </c>
      <c r="D670" s="1">
        <v>2.0</v>
      </c>
      <c r="E670" s="1">
        <v>3.0</v>
      </c>
      <c r="F670" s="1">
        <v>23400.0</v>
      </c>
    </row>
    <row r="671">
      <c r="A671" s="1" t="s">
        <v>1423</v>
      </c>
      <c r="B671" s="1" t="s">
        <v>1424</v>
      </c>
      <c r="C671" s="15">
        <f>+36703330452</f>
        <v>36703330452</v>
      </c>
      <c r="D671" s="1">
        <v>3.0</v>
      </c>
      <c r="E671" s="1">
        <v>3.0</v>
      </c>
      <c r="F671" s="1">
        <v>29600.0</v>
      </c>
    </row>
    <row r="672">
      <c r="A672" s="1" t="s">
        <v>1425</v>
      </c>
      <c r="B672" s="1" t="s">
        <v>1426</v>
      </c>
      <c r="C672" s="15">
        <f>+36709440733</f>
        <v>36709440733</v>
      </c>
      <c r="D672" s="1">
        <v>3.0</v>
      </c>
      <c r="E672" s="1">
        <v>3.0</v>
      </c>
      <c r="F672" s="1">
        <v>35300.0</v>
      </c>
    </row>
    <row r="673">
      <c r="A673" s="1" t="s">
        <v>1427</v>
      </c>
      <c r="B673" s="1" t="s">
        <v>1428</v>
      </c>
      <c r="C673" s="15">
        <f>+36205469169</f>
        <v>36205469169</v>
      </c>
      <c r="D673" s="1">
        <v>2.0</v>
      </c>
      <c r="E673" s="1">
        <v>3.0</v>
      </c>
      <c r="F673" s="1">
        <v>32400.0</v>
      </c>
    </row>
    <row r="674">
      <c r="A674" s="1" t="s">
        <v>1429</v>
      </c>
      <c r="B674" s="1" t="s">
        <v>1430</v>
      </c>
      <c r="C674" s="15">
        <f>+36202803204</f>
        <v>36202803204</v>
      </c>
      <c r="D674" s="1">
        <v>3.0</v>
      </c>
      <c r="E674" s="1">
        <v>3.0</v>
      </c>
      <c r="F674" s="1">
        <v>30000.0</v>
      </c>
    </row>
    <row r="675">
      <c r="A675" s="1" t="s">
        <v>1431</v>
      </c>
      <c r="B675" s="1" t="s">
        <v>1432</v>
      </c>
      <c r="C675" s="15">
        <f>+36302735854</f>
        <v>36302735854</v>
      </c>
      <c r="D675" s="1">
        <v>2.0</v>
      </c>
      <c r="E675" s="1">
        <v>3.0</v>
      </c>
      <c r="F675" s="1">
        <v>25800.0</v>
      </c>
    </row>
    <row r="676">
      <c r="A676" s="1" t="s">
        <v>1433</v>
      </c>
      <c r="B676" s="1" t="s">
        <v>1434</v>
      </c>
      <c r="C676" s="15">
        <f>+36305516567</f>
        <v>36305516567</v>
      </c>
      <c r="D676" s="1">
        <v>3.0</v>
      </c>
      <c r="E676" s="1">
        <v>3.0</v>
      </c>
      <c r="F676" s="1">
        <v>29300.0</v>
      </c>
    </row>
    <row r="677">
      <c r="A677" s="1" t="s">
        <v>1435</v>
      </c>
      <c r="B677" s="1" t="s">
        <v>1436</v>
      </c>
      <c r="C677" s="15">
        <f>+36704420944</f>
        <v>36704420944</v>
      </c>
      <c r="D677" s="1">
        <v>3.0</v>
      </c>
      <c r="E677" s="1">
        <v>3.0</v>
      </c>
      <c r="F677" s="1">
        <v>39700.0</v>
      </c>
    </row>
    <row r="678">
      <c r="A678" s="1" t="s">
        <v>1437</v>
      </c>
      <c r="B678" s="1" t="s">
        <v>1438</v>
      </c>
      <c r="C678" s="15">
        <f>+36307893799</f>
        <v>36307893799</v>
      </c>
      <c r="D678" s="1">
        <v>1.0</v>
      </c>
      <c r="E678" s="1">
        <v>3.0</v>
      </c>
      <c r="F678" s="1">
        <v>24000.0</v>
      </c>
    </row>
    <row r="679">
      <c r="A679" s="1" t="s">
        <v>1439</v>
      </c>
      <c r="B679" s="1" t="s">
        <v>1440</v>
      </c>
      <c r="C679" s="15">
        <f>+36304174567</f>
        <v>36304174567</v>
      </c>
      <c r="D679" s="1">
        <v>3.0</v>
      </c>
      <c r="E679" s="1">
        <v>3.0</v>
      </c>
      <c r="F679" s="1">
        <v>25000.0</v>
      </c>
    </row>
    <row r="680">
      <c r="A680" s="1" t="s">
        <v>1441</v>
      </c>
      <c r="B680" s="1" t="s">
        <v>1442</v>
      </c>
      <c r="C680" s="15">
        <f>+36303970695</f>
        <v>36303970695</v>
      </c>
      <c r="D680" s="1">
        <v>3.0</v>
      </c>
      <c r="E680" s="1">
        <v>3.0</v>
      </c>
      <c r="F680" s="1">
        <v>26700.0</v>
      </c>
    </row>
    <row r="681">
      <c r="A681" s="1" t="s">
        <v>1443</v>
      </c>
      <c r="B681" s="1" t="s">
        <v>1444</v>
      </c>
      <c r="C681" s="15">
        <f>+36309865590</f>
        <v>36309865590</v>
      </c>
      <c r="D681" s="1">
        <v>3.0</v>
      </c>
      <c r="E681" s="1">
        <v>3.0</v>
      </c>
      <c r="F681" s="1">
        <v>29300.0</v>
      </c>
    </row>
    <row r="682">
      <c r="A682" s="1" t="s">
        <v>1445</v>
      </c>
      <c r="B682" s="1" t="s">
        <v>1446</v>
      </c>
      <c r="C682" s="15">
        <f>+36706098025</f>
        <v>36706098025</v>
      </c>
      <c r="D682" s="1">
        <v>2.0</v>
      </c>
      <c r="E682" s="1">
        <v>3.0</v>
      </c>
      <c r="F682" s="1">
        <v>26100.0</v>
      </c>
    </row>
    <row r="683">
      <c r="A683" s="1" t="s">
        <v>1447</v>
      </c>
      <c r="B683" s="1" t="s">
        <v>1448</v>
      </c>
      <c r="C683" s="15">
        <f>+36306900115</f>
        <v>36306900115</v>
      </c>
      <c r="D683" s="1">
        <v>3.0</v>
      </c>
      <c r="E683" s="1">
        <v>3.0</v>
      </c>
      <c r="F683" s="1">
        <v>32600.0</v>
      </c>
    </row>
    <row r="684">
      <c r="A684" s="1" t="s">
        <v>1449</v>
      </c>
      <c r="B684" s="1" t="s">
        <v>1450</v>
      </c>
      <c r="C684" s="15">
        <f>+36706105162</f>
        <v>36706105162</v>
      </c>
      <c r="D684" s="1">
        <v>3.0</v>
      </c>
      <c r="E684" s="1">
        <v>3.0</v>
      </c>
      <c r="F684" s="1">
        <v>34000.0</v>
      </c>
    </row>
    <row r="685">
      <c r="A685" s="1" t="s">
        <v>1451</v>
      </c>
      <c r="B685" s="1" t="s">
        <v>1452</v>
      </c>
      <c r="C685" s="15">
        <f>+36303326318</f>
        <v>36303326318</v>
      </c>
      <c r="D685" s="1">
        <v>3.0</v>
      </c>
      <c r="E685" s="1">
        <v>3.0</v>
      </c>
      <c r="F685" s="1">
        <v>25000.0</v>
      </c>
    </row>
    <row r="686">
      <c r="A686" s="1" t="s">
        <v>1453</v>
      </c>
      <c r="B686" s="1" t="s">
        <v>1454</v>
      </c>
      <c r="C686" s="15">
        <f>+36302430111</f>
        <v>36302430111</v>
      </c>
      <c r="D686" s="1">
        <v>2.0</v>
      </c>
      <c r="E686" s="1">
        <v>3.0</v>
      </c>
      <c r="F686" s="1">
        <v>32400.0</v>
      </c>
    </row>
    <row r="687">
      <c r="A687" s="1" t="s">
        <v>1455</v>
      </c>
      <c r="B687" s="1" t="s">
        <v>1456</v>
      </c>
      <c r="C687" s="15">
        <f>+36203779752</f>
        <v>36203779752</v>
      </c>
      <c r="D687" s="1">
        <v>2.0</v>
      </c>
      <c r="E687" s="1">
        <v>3.0</v>
      </c>
      <c r="F687" s="1">
        <v>35200.0</v>
      </c>
    </row>
    <row r="688">
      <c r="A688" s="1" t="s">
        <v>1457</v>
      </c>
      <c r="B688" s="1" t="s">
        <v>1458</v>
      </c>
      <c r="C688" s="15">
        <f>+36704325302</f>
        <v>36704325302</v>
      </c>
      <c r="D688" s="1">
        <v>2.0</v>
      </c>
      <c r="E688" s="1">
        <v>3.0</v>
      </c>
      <c r="F688" s="1">
        <v>32900.0</v>
      </c>
    </row>
    <row r="689">
      <c r="A689" s="1" t="s">
        <v>1459</v>
      </c>
      <c r="B689" s="1" t="s">
        <v>1460</v>
      </c>
      <c r="C689" s="15">
        <f>+36704538402</f>
        <v>36704538402</v>
      </c>
      <c r="D689" s="1">
        <v>2.0</v>
      </c>
      <c r="E689" s="1">
        <v>3.0</v>
      </c>
      <c r="F689" s="1">
        <v>22100.0</v>
      </c>
    </row>
    <row r="690">
      <c r="A690" s="1" t="s">
        <v>1461</v>
      </c>
      <c r="B690" s="1" t="s">
        <v>1462</v>
      </c>
      <c r="C690" s="15">
        <f>+36706245724</f>
        <v>36706245724</v>
      </c>
      <c r="D690" s="1">
        <v>1.0</v>
      </c>
      <c r="E690" s="1">
        <v>3.0</v>
      </c>
      <c r="F690" s="1">
        <v>35100.0</v>
      </c>
    </row>
    <row r="691">
      <c r="A691" s="1" t="s">
        <v>1463</v>
      </c>
      <c r="B691" s="1" t="s">
        <v>1464</v>
      </c>
      <c r="C691" s="15">
        <f>+36203884438</f>
        <v>36203884438</v>
      </c>
      <c r="D691" s="1">
        <v>4.0</v>
      </c>
      <c r="E691" s="1">
        <v>3.0</v>
      </c>
      <c r="F691" s="1">
        <v>28600.0</v>
      </c>
    </row>
    <row r="692">
      <c r="A692" s="1" t="s">
        <v>1465</v>
      </c>
      <c r="B692" s="1" t="s">
        <v>1466</v>
      </c>
      <c r="C692" s="15">
        <f>+36306709117</f>
        <v>36306709117</v>
      </c>
      <c r="D692" s="1">
        <v>5.0</v>
      </c>
      <c r="E692" s="1">
        <v>3.0</v>
      </c>
      <c r="F692" s="1">
        <v>25100.0</v>
      </c>
    </row>
    <row r="693">
      <c r="A693" s="1" t="s">
        <v>1467</v>
      </c>
      <c r="B693" s="1" t="s">
        <v>1468</v>
      </c>
      <c r="C693" s="15">
        <f>+36308614420</f>
        <v>36308614420</v>
      </c>
      <c r="D693" s="1">
        <v>3.0</v>
      </c>
      <c r="E693" s="1">
        <v>3.0</v>
      </c>
      <c r="F693" s="1">
        <v>25100.0</v>
      </c>
    </row>
    <row r="694">
      <c r="A694" s="1" t="s">
        <v>1469</v>
      </c>
      <c r="B694" s="1" t="s">
        <v>1470</v>
      </c>
      <c r="C694" s="15">
        <f>+36703454504</f>
        <v>36703454504</v>
      </c>
      <c r="D694" s="1">
        <v>3.0</v>
      </c>
      <c r="E694" s="1">
        <v>3.0</v>
      </c>
      <c r="F694" s="1">
        <v>33300.0</v>
      </c>
    </row>
    <row r="695">
      <c r="A695" s="1" t="s">
        <v>1471</v>
      </c>
      <c r="B695" s="1" t="s">
        <v>1472</v>
      </c>
      <c r="C695" s="15">
        <f>+36301393552</f>
        <v>36301393552</v>
      </c>
      <c r="D695" s="1">
        <v>2.0</v>
      </c>
      <c r="E695" s="1">
        <v>3.0</v>
      </c>
      <c r="F695" s="1">
        <v>26100.0</v>
      </c>
    </row>
    <row r="696">
      <c r="A696" s="1" t="s">
        <v>1473</v>
      </c>
      <c r="B696" s="1" t="s">
        <v>1474</v>
      </c>
      <c r="C696" s="15">
        <f>+36209346878</f>
        <v>36209346878</v>
      </c>
      <c r="D696" s="1">
        <v>3.0</v>
      </c>
      <c r="E696" s="1">
        <v>3.0</v>
      </c>
      <c r="F696" s="1">
        <v>62900.0</v>
      </c>
    </row>
    <row r="697">
      <c r="A697" s="1" t="s">
        <v>1475</v>
      </c>
      <c r="B697" s="1" t="s">
        <v>1476</v>
      </c>
      <c r="C697" s="15">
        <f>+36307405141</f>
        <v>36307405141</v>
      </c>
      <c r="D697" s="1">
        <v>2.0</v>
      </c>
      <c r="E697" s="1">
        <v>3.0</v>
      </c>
      <c r="F697" s="1">
        <v>24900.0</v>
      </c>
    </row>
    <row r="698">
      <c r="A698" s="1" t="s">
        <v>1477</v>
      </c>
      <c r="B698" s="1" t="s">
        <v>1478</v>
      </c>
      <c r="C698" s="15">
        <f>+36301807762</f>
        <v>36301807762</v>
      </c>
      <c r="D698" s="1">
        <v>4.0</v>
      </c>
      <c r="E698" s="1">
        <v>3.0</v>
      </c>
      <c r="F698" s="1">
        <v>34900.0</v>
      </c>
    </row>
    <row r="699">
      <c r="A699" s="1" t="s">
        <v>1479</v>
      </c>
      <c r="B699" s="1" t="s">
        <v>1480</v>
      </c>
      <c r="C699" s="15">
        <f>+36309464716</f>
        <v>36309464716</v>
      </c>
      <c r="D699" s="1">
        <v>4.0</v>
      </c>
      <c r="E699" s="1">
        <v>3.0</v>
      </c>
      <c r="F699" s="1">
        <v>33900.0</v>
      </c>
    </row>
    <row r="700">
      <c r="A700" s="1" t="s">
        <v>1481</v>
      </c>
      <c r="B700" s="1" t="s">
        <v>1482</v>
      </c>
      <c r="C700" s="15">
        <f>+36302855180</f>
        <v>36302855180</v>
      </c>
      <c r="D700" s="1">
        <v>4.0</v>
      </c>
      <c r="E700" s="1">
        <v>3.0</v>
      </c>
      <c r="F700" s="1">
        <v>43700.0</v>
      </c>
    </row>
    <row r="701">
      <c r="A701" s="1" t="s">
        <v>1483</v>
      </c>
      <c r="B701" s="1" t="s">
        <v>1484</v>
      </c>
      <c r="C701" s="15">
        <f>+36203205191</f>
        <v>36203205191</v>
      </c>
      <c r="D701" s="1">
        <v>3.0</v>
      </c>
      <c r="E701" s="1">
        <v>3.0</v>
      </c>
      <c r="F701" s="1">
        <v>25900.0</v>
      </c>
    </row>
    <row r="702">
      <c r="A702" s="1" t="s">
        <v>1485</v>
      </c>
      <c r="B702" s="1" t="s">
        <v>1486</v>
      </c>
      <c r="C702" s="15">
        <f>+36703313210</f>
        <v>36703313210</v>
      </c>
      <c r="D702" s="1">
        <v>2.0</v>
      </c>
      <c r="E702" s="1">
        <v>3.0</v>
      </c>
      <c r="F702" s="1">
        <v>32300.0</v>
      </c>
    </row>
    <row r="703">
      <c r="A703" s="1" t="s">
        <v>1487</v>
      </c>
      <c r="B703" s="1" t="s">
        <v>1488</v>
      </c>
      <c r="C703" s="15">
        <f>+36703153135</f>
        <v>36703153135</v>
      </c>
      <c r="D703" s="1">
        <v>3.0</v>
      </c>
      <c r="E703" s="1">
        <v>3.0</v>
      </c>
      <c r="F703" s="1">
        <v>25700.0</v>
      </c>
    </row>
    <row r="704">
      <c r="A704" s="1" t="s">
        <v>1489</v>
      </c>
      <c r="B704" s="1" t="s">
        <v>1490</v>
      </c>
      <c r="C704" s="15">
        <f>+36309797981</f>
        <v>36309797981</v>
      </c>
      <c r="D704" s="1">
        <v>3.0</v>
      </c>
      <c r="E704" s="1">
        <v>3.0</v>
      </c>
      <c r="F704" s="1">
        <v>32600.0</v>
      </c>
    </row>
    <row r="705">
      <c r="A705" s="1" t="s">
        <v>1491</v>
      </c>
      <c r="B705" s="1" t="s">
        <v>1492</v>
      </c>
      <c r="C705" s="15">
        <f>+36203456500</f>
        <v>36203456500</v>
      </c>
      <c r="D705" s="1">
        <v>5.0</v>
      </c>
      <c r="E705" s="1">
        <v>3.0</v>
      </c>
      <c r="F705" s="1">
        <v>27700.0</v>
      </c>
    </row>
    <row r="706">
      <c r="A706" s="1" t="s">
        <v>1493</v>
      </c>
      <c r="B706" s="1" t="s">
        <v>1494</v>
      </c>
      <c r="C706" s="15">
        <f>+36704339234</f>
        <v>36704339234</v>
      </c>
      <c r="D706" s="1">
        <v>2.0</v>
      </c>
      <c r="E706" s="1">
        <v>3.0</v>
      </c>
      <c r="F706" s="1">
        <v>28600.0</v>
      </c>
    </row>
    <row r="707">
      <c r="A707" s="1" t="s">
        <v>1495</v>
      </c>
      <c r="B707" s="1" t="s">
        <v>1496</v>
      </c>
      <c r="C707" s="15">
        <f>+40732970130</f>
        <v>40732970130</v>
      </c>
      <c r="D707" s="1">
        <v>2.0</v>
      </c>
      <c r="E707" s="1">
        <v>3.0</v>
      </c>
      <c r="F707" s="1">
        <v>37200.0</v>
      </c>
    </row>
    <row r="708">
      <c r="A708" s="1" t="s">
        <v>1497</v>
      </c>
      <c r="B708" s="1" t="s">
        <v>1498</v>
      </c>
      <c r="C708" s="15">
        <f>+36309493388</f>
        <v>36309493388</v>
      </c>
      <c r="D708" s="1">
        <v>2.0</v>
      </c>
      <c r="E708" s="1">
        <v>3.0</v>
      </c>
      <c r="F708" s="1">
        <v>30900.0</v>
      </c>
    </row>
    <row r="709">
      <c r="A709" s="1" t="s">
        <v>1499</v>
      </c>
      <c r="B709" s="1" t="s">
        <v>1500</v>
      </c>
      <c r="C709" s="15">
        <f>+36304949239</f>
        <v>36304949239</v>
      </c>
      <c r="D709" s="1">
        <v>3.0</v>
      </c>
      <c r="E709" s="1">
        <v>3.0</v>
      </c>
      <c r="F709" s="1">
        <v>33300.0</v>
      </c>
    </row>
    <row r="710">
      <c r="A710" s="1" t="s">
        <v>1501</v>
      </c>
      <c r="B710" s="1" t="s">
        <v>1502</v>
      </c>
      <c r="C710" s="15">
        <f>+36203804934</f>
        <v>36203804934</v>
      </c>
      <c r="D710" s="1">
        <v>5.0</v>
      </c>
      <c r="E710" s="1">
        <v>3.0</v>
      </c>
      <c r="F710" s="1">
        <v>28800.0</v>
      </c>
    </row>
    <row r="711">
      <c r="A711" s="1" t="s">
        <v>1503</v>
      </c>
      <c r="B711" s="1" t="s">
        <v>1504</v>
      </c>
      <c r="C711" s="15">
        <f>+36309993953</f>
        <v>36309993953</v>
      </c>
      <c r="D711" s="1">
        <v>3.0</v>
      </c>
      <c r="E711" s="1">
        <v>3.0</v>
      </c>
      <c r="F711" s="1">
        <v>31800.0</v>
      </c>
    </row>
    <row r="712">
      <c r="A712" s="1" t="s">
        <v>1505</v>
      </c>
      <c r="B712" s="1" t="s">
        <v>1506</v>
      </c>
      <c r="C712" s="15">
        <f>+36708035252</f>
        <v>36708035252</v>
      </c>
      <c r="D712" s="1">
        <v>3.0</v>
      </c>
      <c r="E712" s="1">
        <v>3.0</v>
      </c>
      <c r="F712" s="1">
        <v>19300.0</v>
      </c>
    </row>
    <row r="713">
      <c r="A713" s="1" t="s">
        <v>1507</v>
      </c>
      <c r="B713" s="1" t="s">
        <v>1508</v>
      </c>
      <c r="C713" s="15">
        <f>+36205174005</f>
        <v>36205174005</v>
      </c>
      <c r="D713" s="1">
        <v>3.0</v>
      </c>
      <c r="E713" s="1">
        <v>3.0</v>
      </c>
      <c r="F713" s="1">
        <v>41500.0</v>
      </c>
    </row>
    <row r="714">
      <c r="A714" s="1" t="s">
        <v>1509</v>
      </c>
      <c r="B714" s="1" t="s">
        <v>1510</v>
      </c>
      <c r="C714" s="15">
        <f>+36309783699</f>
        <v>36309783699</v>
      </c>
      <c r="D714" s="1">
        <v>3.0</v>
      </c>
      <c r="E714" s="1">
        <v>3.0</v>
      </c>
      <c r="F714" s="1">
        <v>36500.0</v>
      </c>
    </row>
    <row r="715">
      <c r="A715" s="1" t="s">
        <v>1511</v>
      </c>
      <c r="B715" s="1" t="s">
        <v>1512</v>
      </c>
      <c r="C715" s="15">
        <f>+36304699007</f>
        <v>36304699007</v>
      </c>
      <c r="D715" s="1">
        <v>4.0</v>
      </c>
      <c r="E715" s="1">
        <v>3.0</v>
      </c>
      <c r="F715" s="1">
        <v>73000.0</v>
      </c>
    </row>
    <row r="716">
      <c r="A716" s="1" t="s">
        <v>1513</v>
      </c>
      <c r="B716" s="1" t="s">
        <v>1514</v>
      </c>
      <c r="C716" s="15">
        <f>+36702320244</f>
        <v>36702320244</v>
      </c>
      <c r="D716" s="1">
        <v>2.0</v>
      </c>
      <c r="E716" s="1">
        <v>3.0</v>
      </c>
      <c r="F716" s="1">
        <v>32000.0</v>
      </c>
    </row>
    <row r="717">
      <c r="A717" s="1" t="s">
        <v>1515</v>
      </c>
      <c r="B717" s="1" t="s">
        <v>1516</v>
      </c>
      <c r="C717" s="15">
        <f>+36305343648</f>
        <v>36305343648</v>
      </c>
      <c r="D717" s="1">
        <v>3.0</v>
      </c>
      <c r="E717" s="1">
        <v>3.0</v>
      </c>
      <c r="F717" s="1">
        <v>40900.0</v>
      </c>
    </row>
    <row r="718">
      <c r="A718" s="1" t="s">
        <v>1517</v>
      </c>
      <c r="B718" s="1" t="s">
        <v>1518</v>
      </c>
      <c r="C718" s="15">
        <f>+36302006671</f>
        <v>36302006671</v>
      </c>
      <c r="D718" s="1">
        <v>1.0</v>
      </c>
      <c r="E718" s="1">
        <v>3.0</v>
      </c>
      <c r="F718" s="1">
        <v>24000.0</v>
      </c>
    </row>
    <row r="719">
      <c r="A719" s="1" t="s">
        <v>1519</v>
      </c>
      <c r="B719" s="1" t="s">
        <v>1520</v>
      </c>
      <c r="C719" s="15">
        <f>+36306102323</f>
        <v>36306102323</v>
      </c>
      <c r="D719" s="1">
        <v>4.0</v>
      </c>
      <c r="E719" s="1">
        <v>3.0</v>
      </c>
      <c r="F719" s="1">
        <v>43000.0</v>
      </c>
    </row>
    <row r="720">
      <c r="A720" s="1" t="s">
        <v>1521</v>
      </c>
      <c r="B720" s="1" t="s">
        <v>1522</v>
      </c>
      <c r="C720" s="15">
        <f>+36303436954</f>
        <v>36303436954</v>
      </c>
      <c r="D720" s="1">
        <v>4.0</v>
      </c>
      <c r="E720" s="1">
        <v>3.0</v>
      </c>
      <c r="F720" s="1">
        <v>56100.0</v>
      </c>
    </row>
    <row r="721">
      <c r="A721" s="1" t="s">
        <v>1523</v>
      </c>
      <c r="B721" s="1" t="s">
        <v>1524</v>
      </c>
      <c r="C721" s="15">
        <f>+36307017315</f>
        <v>36307017315</v>
      </c>
      <c r="D721" s="1">
        <v>1.0</v>
      </c>
      <c r="E721" s="1">
        <v>3.0</v>
      </c>
      <c r="F721" s="1">
        <v>17100.0</v>
      </c>
    </row>
    <row r="722">
      <c r="A722" s="1" t="s">
        <v>1525</v>
      </c>
      <c r="B722" s="1" t="s">
        <v>1526</v>
      </c>
      <c r="C722" s="15">
        <f>+421910507579</f>
        <v>421910507579</v>
      </c>
      <c r="D722" s="1">
        <v>4.0</v>
      </c>
      <c r="E722" s="1">
        <v>3.0</v>
      </c>
      <c r="F722" s="1">
        <v>27500.0</v>
      </c>
    </row>
    <row r="723">
      <c r="A723" s="1" t="s">
        <v>1527</v>
      </c>
      <c r="B723" s="1" t="s">
        <v>1528</v>
      </c>
      <c r="C723" s="15">
        <f>+36209816551</f>
        <v>36209816551</v>
      </c>
      <c r="D723" s="1">
        <v>2.0</v>
      </c>
      <c r="E723" s="1">
        <v>3.0</v>
      </c>
      <c r="F723" s="1">
        <v>33600.0</v>
      </c>
    </row>
    <row r="724">
      <c r="A724" s="1" t="s">
        <v>1529</v>
      </c>
      <c r="B724" s="1" t="s">
        <v>1530</v>
      </c>
      <c r="C724" s="15">
        <f>+36209751201</f>
        <v>36209751201</v>
      </c>
      <c r="D724" s="1">
        <v>4.0</v>
      </c>
      <c r="E724" s="1">
        <v>3.0</v>
      </c>
      <c r="F724" s="1">
        <v>25200.0</v>
      </c>
    </row>
    <row r="725">
      <c r="A725" s="1" t="s">
        <v>1531</v>
      </c>
      <c r="B725" s="1" t="s">
        <v>1532</v>
      </c>
      <c r="C725" s="15">
        <f>+36306460241</f>
        <v>36306460241</v>
      </c>
      <c r="D725" s="1">
        <v>2.0</v>
      </c>
      <c r="E725" s="1">
        <v>3.0</v>
      </c>
      <c r="F725" s="1">
        <v>22300.0</v>
      </c>
    </row>
    <row r="726">
      <c r="A726" s="1" t="s">
        <v>1533</v>
      </c>
      <c r="B726" s="1" t="s">
        <v>1534</v>
      </c>
      <c r="C726" s="15">
        <f>+421911812710</f>
        <v>421911812710</v>
      </c>
      <c r="D726" s="1">
        <v>3.0</v>
      </c>
      <c r="E726" s="1">
        <v>3.0</v>
      </c>
      <c r="F726" s="1">
        <v>26000.0</v>
      </c>
    </row>
    <row r="727">
      <c r="A727" s="1" t="s">
        <v>1535</v>
      </c>
      <c r="B727" s="1" t="s">
        <v>1536</v>
      </c>
      <c r="C727" s="15">
        <f>+36708849944</f>
        <v>36708849944</v>
      </c>
      <c r="D727" s="1">
        <v>2.0</v>
      </c>
      <c r="E727" s="1">
        <v>3.0</v>
      </c>
      <c r="F727" s="1">
        <v>33900.0</v>
      </c>
    </row>
    <row r="728">
      <c r="A728" s="1" t="s">
        <v>1537</v>
      </c>
      <c r="B728" s="1" t="s">
        <v>1538</v>
      </c>
      <c r="C728" s="15">
        <f>+36209256480</f>
        <v>36209256480</v>
      </c>
      <c r="D728" s="1">
        <v>3.0</v>
      </c>
      <c r="E728" s="1">
        <v>3.0</v>
      </c>
      <c r="F728" s="1">
        <v>26900.0</v>
      </c>
    </row>
    <row r="729">
      <c r="A729" s="1" t="s">
        <v>1539</v>
      </c>
      <c r="B729" s="1" t="s">
        <v>1540</v>
      </c>
      <c r="C729" s="15">
        <f>+36209582007</f>
        <v>36209582007</v>
      </c>
      <c r="D729" s="1">
        <v>3.0</v>
      </c>
      <c r="E729" s="1">
        <v>3.0</v>
      </c>
      <c r="F729" s="1">
        <v>30400.0</v>
      </c>
    </row>
    <row r="730">
      <c r="A730" s="1" t="s">
        <v>1541</v>
      </c>
      <c r="B730" s="1" t="s">
        <v>1542</v>
      </c>
      <c r="C730" s="15">
        <f>+36305962596</f>
        <v>36305962596</v>
      </c>
      <c r="D730" s="1">
        <v>2.0</v>
      </c>
      <c r="E730" s="1">
        <v>3.0</v>
      </c>
      <c r="F730" s="1">
        <v>17800.0</v>
      </c>
    </row>
    <row r="731">
      <c r="A731" s="1" t="s">
        <v>1543</v>
      </c>
      <c r="B731" s="1" t="s">
        <v>1544</v>
      </c>
      <c r="C731" s="15">
        <f>+36204267688</f>
        <v>36204267688</v>
      </c>
      <c r="D731" s="1">
        <v>4.0</v>
      </c>
      <c r="E731" s="1">
        <v>3.0</v>
      </c>
      <c r="F731" s="1">
        <v>26300.0</v>
      </c>
    </row>
    <row r="732">
      <c r="A732" s="1" t="s">
        <v>1545</v>
      </c>
      <c r="B732" s="1" t="s">
        <v>1546</v>
      </c>
      <c r="C732" s="15">
        <f>+36704179628</f>
        <v>36704179628</v>
      </c>
      <c r="D732" s="1">
        <v>2.0</v>
      </c>
      <c r="E732" s="1">
        <v>3.0</v>
      </c>
      <c r="F732" s="1">
        <v>31000.0</v>
      </c>
    </row>
    <row r="733">
      <c r="A733" s="1" t="s">
        <v>1547</v>
      </c>
      <c r="B733" s="1" t="s">
        <v>1548</v>
      </c>
      <c r="C733" s="15">
        <f>+36306817535</f>
        <v>36306817535</v>
      </c>
      <c r="D733" s="1">
        <v>3.0</v>
      </c>
      <c r="E733" s="1">
        <v>3.0</v>
      </c>
      <c r="F733" s="1">
        <v>26700.0</v>
      </c>
    </row>
    <row r="734">
      <c r="A734" s="1" t="s">
        <v>1549</v>
      </c>
      <c r="B734" s="1" t="s">
        <v>1550</v>
      </c>
      <c r="C734" s="15">
        <f>+36305460701</f>
        <v>36305460701</v>
      </c>
      <c r="D734" s="1">
        <v>4.0</v>
      </c>
      <c r="E734" s="1">
        <v>3.0</v>
      </c>
      <c r="F734" s="1">
        <v>45300.0</v>
      </c>
    </row>
    <row r="735">
      <c r="A735" s="1" t="s">
        <v>1551</v>
      </c>
      <c r="B735" s="1" t="s">
        <v>1552</v>
      </c>
      <c r="C735" s="15">
        <f>+36309319201</f>
        <v>36309319201</v>
      </c>
      <c r="D735" s="1">
        <v>2.0</v>
      </c>
      <c r="E735" s="1">
        <v>3.0</v>
      </c>
      <c r="F735" s="1">
        <v>25200.0</v>
      </c>
    </row>
    <row r="736">
      <c r="A736" s="1" t="s">
        <v>1553</v>
      </c>
      <c r="B736" s="1" t="s">
        <v>1554</v>
      </c>
      <c r="C736" s="15">
        <f>+36209893665</f>
        <v>36209893665</v>
      </c>
      <c r="D736" s="1">
        <v>3.0</v>
      </c>
      <c r="E736" s="1">
        <v>3.0</v>
      </c>
      <c r="F736" s="1">
        <v>36400.0</v>
      </c>
    </row>
    <row r="737">
      <c r="A737" s="1" t="s">
        <v>1555</v>
      </c>
      <c r="B737" s="1" t="s">
        <v>1556</v>
      </c>
      <c r="C737" s="15">
        <f>+36307574844</f>
        <v>36307574844</v>
      </c>
      <c r="D737" s="1">
        <v>4.0</v>
      </c>
      <c r="E737" s="1">
        <v>3.0</v>
      </c>
      <c r="F737" s="1">
        <v>65700.0</v>
      </c>
    </row>
    <row r="738">
      <c r="A738" s="1" t="s">
        <v>1557</v>
      </c>
      <c r="B738" s="1" t="s">
        <v>1558</v>
      </c>
      <c r="C738" s="15">
        <f>+36203573988</f>
        <v>36203573988</v>
      </c>
      <c r="D738" s="1">
        <v>2.0</v>
      </c>
      <c r="E738" s="1">
        <v>3.0</v>
      </c>
      <c r="F738" s="1">
        <v>30200.0</v>
      </c>
    </row>
    <row r="739">
      <c r="A739" s="1" t="s">
        <v>1559</v>
      </c>
      <c r="B739" s="1" t="s">
        <v>1560</v>
      </c>
      <c r="C739" s="15">
        <f>+36705277506</f>
        <v>36705277506</v>
      </c>
      <c r="D739" s="1">
        <v>1.0</v>
      </c>
      <c r="E739" s="1">
        <v>3.0</v>
      </c>
      <c r="F739" s="1">
        <v>27000.0</v>
      </c>
    </row>
    <row r="740">
      <c r="A740" s="1" t="s">
        <v>1561</v>
      </c>
      <c r="B740" s="1" t="s">
        <v>1562</v>
      </c>
      <c r="C740" s="15">
        <f>+36303050632</f>
        <v>36303050632</v>
      </c>
      <c r="D740" s="1">
        <v>3.0</v>
      </c>
      <c r="E740" s="1">
        <v>3.0</v>
      </c>
      <c r="F740" s="1">
        <v>25100.0</v>
      </c>
    </row>
    <row r="741">
      <c r="A741" s="1" t="s">
        <v>1563</v>
      </c>
      <c r="B741" s="1" t="s">
        <v>1564</v>
      </c>
      <c r="C741" s="15">
        <f>+36309002115</f>
        <v>36309002115</v>
      </c>
      <c r="D741" s="1">
        <v>2.0</v>
      </c>
      <c r="E741" s="1">
        <v>3.0</v>
      </c>
      <c r="F741" s="1">
        <v>33000.0</v>
      </c>
    </row>
    <row r="742">
      <c r="A742" s="1" t="s">
        <v>1565</v>
      </c>
      <c r="B742" s="1" t="s">
        <v>1566</v>
      </c>
      <c r="C742" s="15">
        <f>+36309731512</f>
        <v>36309731512</v>
      </c>
      <c r="D742" s="1">
        <v>2.0</v>
      </c>
      <c r="E742" s="1">
        <v>3.0</v>
      </c>
      <c r="F742" s="1">
        <v>34100.0</v>
      </c>
    </row>
    <row r="743">
      <c r="A743" s="1" t="s">
        <v>1567</v>
      </c>
      <c r="B743" s="1" t="s">
        <v>1568</v>
      </c>
      <c r="C743" s="15">
        <f>+36209993174</f>
        <v>36209993174</v>
      </c>
      <c r="D743" s="1">
        <v>2.0</v>
      </c>
      <c r="E743" s="1">
        <v>3.0</v>
      </c>
      <c r="F743" s="1">
        <v>25200.0</v>
      </c>
    </row>
    <row r="744">
      <c r="A744" s="1" t="s">
        <v>1569</v>
      </c>
      <c r="B744" s="1" t="s">
        <v>1570</v>
      </c>
      <c r="C744" s="15">
        <f>+36307086993</f>
        <v>36307086993</v>
      </c>
      <c r="D744" s="1">
        <v>4.0</v>
      </c>
      <c r="E744" s="1">
        <v>3.0</v>
      </c>
      <c r="F744" s="1">
        <v>47300.0</v>
      </c>
    </row>
    <row r="745">
      <c r="A745" s="1" t="s">
        <v>1571</v>
      </c>
      <c r="B745" s="1" t="s">
        <v>1572</v>
      </c>
      <c r="C745" s="15">
        <f>+36209762232</f>
        <v>36209762232</v>
      </c>
      <c r="D745" s="1">
        <v>4.0</v>
      </c>
      <c r="E745" s="1">
        <v>3.0</v>
      </c>
      <c r="F745" s="1">
        <v>23600.0</v>
      </c>
    </row>
    <row r="746">
      <c r="A746" s="1" t="s">
        <v>1573</v>
      </c>
      <c r="B746" s="1" t="s">
        <v>1574</v>
      </c>
      <c r="C746" s="15">
        <f>+36302842362</f>
        <v>36302842362</v>
      </c>
      <c r="D746" s="1">
        <v>4.0</v>
      </c>
      <c r="E746" s="1">
        <v>3.0</v>
      </c>
      <c r="F746" s="1">
        <v>39800.0</v>
      </c>
    </row>
    <row r="747">
      <c r="A747" s="1" t="s">
        <v>1575</v>
      </c>
      <c r="B747" s="1" t="s">
        <v>1576</v>
      </c>
      <c r="C747" s="15">
        <f>+36707729339</f>
        <v>36707729339</v>
      </c>
      <c r="D747" s="1">
        <v>3.0</v>
      </c>
      <c r="E747" s="1">
        <v>3.0</v>
      </c>
      <c r="F747" s="1">
        <v>49300.0</v>
      </c>
    </row>
    <row r="748">
      <c r="A748" s="1" t="s">
        <v>1577</v>
      </c>
      <c r="B748" s="1" t="s">
        <v>1578</v>
      </c>
      <c r="C748" s="15">
        <f>+36309418434</f>
        <v>36309418434</v>
      </c>
      <c r="D748" s="1">
        <v>3.0</v>
      </c>
      <c r="E748" s="1">
        <v>3.0</v>
      </c>
      <c r="F748" s="1">
        <v>37300.0</v>
      </c>
    </row>
    <row r="749">
      <c r="A749" s="1" t="s">
        <v>1579</v>
      </c>
      <c r="B749" s="1" t="s">
        <v>1580</v>
      </c>
      <c r="C749" s="15">
        <f>+36703053820</f>
        <v>36703053820</v>
      </c>
      <c r="D749" s="1">
        <v>2.0</v>
      </c>
      <c r="E749" s="1">
        <v>3.0</v>
      </c>
      <c r="F749" s="1">
        <v>33900.0</v>
      </c>
    </row>
    <row r="750">
      <c r="A750" s="1" t="s">
        <v>1581</v>
      </c>
      <c r="B750" s="1" t="s">
        <v>1582</v>
      </c>
      <c r="C750" s="15">
        <f>+36307770165</f>
        <v>36307770165</v>
      </c>
      <c r="D750" s="1">
        <v>3.0</v>
      </c>
      <c r="E750" s="1">
        <v>3.0</v>
      </c>
      <c r="F750" s="1">
        <v>18900.0</v>
      </c>
    </row>
    <row r="751">
      <c r="A751" s="1" t="s">
        <v>1583</v>
      </c>
      <c r="B751" s="1" t="s">
        <v>1584</v>
      </c>
      <c r="C751" s="15">
        <f>+36204907693</f>
        <v>36204907693</v>
      </c>
      <c r="D751" s="1">
        <v>2.0</v>
      </c>
      <c r="E751" s="1">
        <v>3.0</v>
      </c>
      <c r="F751" s="1">
        <v>33900.0</v>
      </c>
    </row>
    <row r="752">
      <c r="A752" s="1" t="s">
        <v>1585</v>
      </c>
      <c r="B752" s="1" t="s">
        <v>1586</v>
      </c>
      <c r="C752" s="15">
        <f>+36302401221</f>
        <v>36302401221</v>
      </c>
      <c r="D752" s="1">
        <v>2.0</v>
      </c>
      <c r="E752" s="1">
        <v>3.0</v>
      </c>
      <c r="F752" s="1">
        <v>62300.0</v>
      </c>
    </row>
    <row r="753">
      <c r="A753" s="1" t="s">
        <v>1587</v>
      </c>
      <c r="B753" s="1" t="s">
        <v>1588</v>
      </c>
      <c r="C753" s="15">
        <f>+36703254151</f>
        <v>36703254151</v>
      </c>
      <c r="D753" s="1">
        <v>6.0</v>
      </c>
      <c r="E753" s="1">
        <v>3.0</v>
      </c>
      <c r="F753" s="1">
        <v>44700.0</v>
      </c>
    </row>
    <row r="754">
      <c r="A754" s="1" t="s">
        <v>1589</v>
      </c>
      <c r="B754" s="1" t="s">
        <v>1590</v>
      </c>
      <c r="C754" s="15">
        <f>+36302000045</f>
        <v>36302000045</v>
      </c>
      <c r="D754" s="1">
        <v>3.0</v>
      </c>
      <c r="E754" s="1">
        <v>3.0</v>
      </c>
      <c r="F754" s="1">
        <v>32200.0</v>
      </c>
    </row>
    <row r="755">
      <c r="A755" s="1" t="s">
        <v>1591</v>
      </c>
      <c r="B755" s="1" t="s">
        <v>1592</v>
      </c>
      <c r="C755" s="15">
        <f>+36309644337</f>
        <v>36309644337</v>
      </c>
      <c r="D755" s="1">
        <v>4.0</v>
      </c>
      <c r="E755" s="1">
        <v>3.0</v>
      </c>
      <c r="F755" s="1">
        <v>34800.0</v>
      </c>
    </row>
    <row r="756">
      <c r="A756" s="1" t="s">
        <v>1593</v>
      </c>
      <c r="B756" s="1" t="s">
        <v>1594</v>
      </c>
      <c r="C756" s="15">
        <f>+36309436171</f>
        <v>36309436171</v>
      </c>
      <c r="D756" s="1">
        <v>3.0</v>
      </c>
      <c r="E756" s="1">
        <v>3.0</v>
      </c>
      <c r="F756" s="1">
        <v>20200.0</v>
      </c>
    </row>
    <row r="757">
      <c r="A757" s="1" t="s">
        <v>1595</v>
      </c>
      <c r="B757" s="1" t="s">
        <v>1596</v>
      </c>
      <c r="C757" s="15">
        <f>+36705705710</f>
        <v>36705705710</v>
      </c>
      <c r="D757" s="1">
        <v>1.0</v>
      </c>
      <c r="E757" s="1">
        <v>3.0</v>
      </c>
      <c r="F757" s="1">
        <v>24300.0</v>
      </c>
    </row>
    <row r="758">
      <c r="A758" s="1" t="s">
        <v>1597</v>
      </c>
      <c r="B758" s="1" t="s">
        <v>1598</v>
      </c>
      <c r="C758" s="15">
        <f>+36307235795</f>
        <v>36307235795</v>
      </c>
      <c r="D758" s="1">
        <v>2.0</v>
      </c>
      <c r="E758" s="1">
        <v>3.0</v>
      </c>
      <c r="F758" s="1">
        <v>17800.0</v>
      </c>
    </row>
    <row r="759">
      <c r="A759" s="1" t="s">
        <v>1599</v>
      </c>
      <c r="B759" s="1" t="s">
        <v>1600</v>
      </c>
      <c r="C759" s="15">
        <f>+36706681362</f>
        <v>36706681362</v>
      </c>
      <c r="D759" s="1">
        <v>3.0</v>
      </c>
      <c r="E759" s="1">
        <v>3.0</v>
      </c>
      <c r="F759" s="1">
        <v>31900.0</v>
      </c>
    </row>
    <row r="760">
      <c r="A760" s="1" t="s">
        <v>1601</v>
      </c>
      <c r="B760" s="1" t="s">
        <v>1602</v>
      </c>
      <c r="C760" s="15">
        <f>+36301827072</f>
        <v>36301827072</v>
      </c>
      <c r="D760" s="1">
        <v>2.0</v>
      </c>
      <c r="E760" s="1">
        <v>3.0</v>
      </c>
      <c r="F760" s="1">
        <v>31000.0</v>
      </c>
    </row>
    <row r="761">
      <c r="A761" s="1" t="s">
        <v>1603</v>
      </c>
      <c r="B761" s="1" t="s">
        <v>1604</v>
      </c>
      <c r="C761" s="15">
        <f>+36302986910</f>
        <v>36302986910</v>
      </c>
      <c r="D761" s="1">
        <v>2.0</v>
      </c>
      <c r="E761" s="1">
        <v>3.0</v>
      </c>
      <c r="F761" s="1">
        <v>37700.0</v>
      </c>
    </row>
    <row r="762">
      <c r="A762" s="1" t="s">
        <v>1605</v>
      </c>
      <c r="B762" s="1" t="s">
        <v>1606</v>
      </c>
      <c r="C762" s="15">
        <f>+36204123772</f>
        <v>36204123772</v>
      </c>
      <c r="D762" s="1">
        <v>3.0</v>
      </c>
      <c r="E762" s="1">
        <v>3.0</v>
      </c>
      <c r="F762" s="1">
        <v>23100.0</v>
      </c>
    </row>
    <row r="763">
      <c r="A763" s="1" t="s">
        <v>1607</v>
      </c>
      <c r="B763" s="1" t="s">
        <v>1608</v>
      </c>
      <c r="C763" s="15">
        <f>+36305998648</f>
        <v>36305998648</v>
      </c>
      <c r="D763" s="1">
        <v>3.0</v>
      </c>
      <c r="E763" s="1">
        <v>3.0</v>
      </c>
      <c r="F763" s="1">
        <v>23800.0</v>
      </c>
    </row>
    <row r="764">
      <c r="A764" s="1" t="s">
        <v>1609</v>
      </c>
      <c r="B764" s="1" t="s">
        <v>1610</v>
      </c>
      <c r="C764" s="15">
        <f>+36205290869</f>
        <v>36205290869</v>
      </c>
      <c r="D764" s="1">
        <v>2.0</v>
      </c>
      <c r="E764" s="1">
        <v>3.0</v>
      </c>
      <c r="F764" s="1">
        <v>32400.0</v>
      </c>
    </row>
    <row r="765">
      <c r="A765" s="1" t="s">
        <v>1611</v>
      </c>
      <c r="B765" s="1" t="s">
        <v>1612</v>
      </c>
      <c r="C765" s="15">
        <f>+36303932341</f>
        <v>36303932341</v>
      </c>
      <c r="D765" s="1">
        <v>3.0</v>
      </c>
      <c r="E765" s="1">
        <v>3.0</v>
      </c>
      <c r="F765" s="1">
        <v>28200.0</v>
      </c>
    </row>
    <row r="766">
      <c r="A766" s="1" t="s">
        <v>1613</v>
      </c>
      <c r="B766" s="1" t="s">
        <v>1614</v>
      </c>
      <c r="C766" s="15">
        <f>+36305669976</f>
        <v>36305669976</v>
      </c>
      <c r="D766" s="1">
        <v>4.0</v>
      </c>
      <c r="E766" s="1">
        <v>3.0</v>
      </c>
      <c r="F766" s="1">
        <v>33700.0</v>
      </c>
    </row>
    <row r="767">
      <c r="A767" s="1" t="s">
        <v>1615</v>
      </c>
      <c r="B767" s="1" t="s">
        <v>1616</v>
      </c>
      <c r="C767" s="15">
        <f>+36301231543</f>
        <v>36301231543</v>
      </c>
      <c r="D767" s="1">
        <v>4.0</v>
      </c>
      <c r="E767" s="1">
        <v>3.0</v>
      </c>
      <c r="F767" s="1">
        <v>30500.0</v>
      </c>
    </row>
    <row r="768">
      <c r="A768" s="1" t="s">
        <v>1617</v>
      </c>
      <c r="B768" s="1" t="s">
        <v>1618</v>
      </c>
      <c r="C768" s="15">
        <f>+36209340200</f>
        <v>36209340200</v>
      </c>
      <c r="D768" s="1">
        <v>3.0</v>
      </c>
      <c r="E768" s="1">
        <v>3.0</v>
      </c>
      <c r="F768" s="1">
        <v>37700.0</v>
      </c>
    </row>
    <row r="769">
      <c r="A769" s="1" t="s">
        <v>1619</v>
      </c>
      <c r="B769" s="1" t="s">
        <v>1620</v>
      </c>
      <c r="C769" s="15">
        <f>+36306389397</f>
        <v>36306389397</v>
      </c>
      <c r="D769" s="1">
        <v>2.0</v>
      </c>
      <c r="E769" s="1">
        <v>3.0</v>
      </c>
      <c r="F769" s="1">
        <v>34700.0</v>
      </c>
    </row>
    <row r="770">
      <c r="A770" s="1" t="s">
        <v>1621</v>
      </c>
      <c r="B770" s="1" t="s">
        <v>1622</v>
      </c>
      <c r="C770" s="15">
        <f>+36204050067</f>
        <v>36204050067</v>
      </c>
      <c r="D770" s="1">
        <v>4.0</v>
      </c>
      <c r="E770" s="1">
        <v>3.0</v>
      </c>
      <c r="F770" s="1">
        <v>21000.0</v>
      </c>
    </row>
    <row r="771">
      <c r="A771" s="1" t="s">
        <v>1623</v>
      </c>
      <c r="B771" s="1" t="s">
        <v>1624</v>
      </c>
      <c r="C771" s="15">
        <f>+36703784017</f>
        <v>36703784017</v>
      </c>
      <c r="D771" s="1">
        <v>2.0</v>
      </c>
      <c r="E771" s="1">
        <v>3.0</v>
      </c>
      <c r="F771" s="1">
        <v>30400.0</v>
      </c>
    </row>
    <row r="772">
      <c r="A772" s="1" t="s">
        <v>1625</v>
      </c>
      <c r="B772" s="1" t="s">
        <v>1626</v>
      </c>
      <c r="C772" s="15">
        <f>+36303060175</f>
        <v>36303060175</v>
      </c>
      <c r="D772" s="1">
        <v>3.0</v>
      </c>
      <c r="E772" s="1">
        <v>3.0</v>
      </c>
      <c r="F772" s="1">
        <v>32600.0</v>
      </c>
    </row>
    <row r="773">
      <c r="A773" s="1" t="s">
        <v>1627</v>
      </c>
      <c r="B773" s="1" t="s">
        <v>1628</v>
      </c>
      <c r="C773" s="15">
        <f>+36304553643</f>
        <v>36304553643</v>
      </c>
      <c r="D773" s="1">
        <v>3.0</v>
      </c>
      <c r="E773" s="1">
        <v>3.0</v>
      </c>
      <c r="F773" s="1">
        <v>29300.0</v>
      </c>
    </row>
    <row r="774">
      <c r="A774" s="1" t="s">
        <v>1629</v>
      </c>
      <c r="B774" s="1" t="s">
        <v>1630</v>
      </c>
      <c r="C774" s="15">
        <f>+36204804292</f>
        <v>36204804292</v>
      </c>
      <c r="D774" s="1">
        <v>6.0</v>
      </c>
      <c r="E774" s="1">
        <v>3.0</v>
      </c>
      <c r="F774" s="1">
        <v>49900.0</v>
      </c>
    </row>
    <row r="775">
      <c r="A775" s="1" t="s">
        <v>1631</v>
      </c>
      <c r="B775" s="1" t="s">
        <v>1632</v>
      </c>
      <c r="C775" s="15">
        <f>+36703665453</f>
        <v>36703665453</v>
      </c>
      <c r="D775" s="1">
        <v>3.0</v>
      </c>
      <c r="E775" s="1">
        <v>3.0</v>
      </c>
      <c r="F775" s="1">
        <v>21500.0</v>
      </c>
    </row>
    <row r="776">
      <c r="A776" s="1" t="s">
        <v>1633</v>
      </c>
      <c r="B776" s="1" t="s">
        <v>1634</v>
      </c>
      <c r="C776" s="15">
        <f>+36704147741</f>
        <v>36704147741</v>
      </c>
      <c r="D776" s="1">
        <v>2.0</v>
      </c>
      <c r="E776" s="1">
        <v>3.0</v>
      </c>
      <c r="F776" s="1">
        <v>25800.0</v>
      </c>
    </row>
    <row r="777">
      <c r="A777" s="1" t="s">
        <v>1635</v>
      </c>
      <c r="B777" s="1" t="s">
        <v>1636</v>
      </c>
      <c r="C777" s="15">
        <f>+36307515516</f>
        <v>36307515516</v>
      </c>
      <c r="D777" s="1">
        <v>3.0</v>
      </c>
      <c r="E777" s="1">
        <v>3.0</v>
      </c>
      <c r="F777" s="1">
        <v>38200.0</v>
      </c>
    </row>
    <row r="778">
      <c r="A778" s="1" t="s">
        <v>1637</v>
      </c>
      <c r="B778" s="1" t="s">
        <v>1638</v>
      </c>
      <c r="C778" s="15">
        <f>+36304161021</f>
        <v>36304161021</v>
      </c>
      <c r="D778" s="1">
        <v>3.0</v>
      </c>
      <c r="E778" s="1">
        <v>3.0</v>
      </c>
      <c r="F778" s="1">
        <v>29600.0</v>
      </c>
    </row>
    <row r="779">
      <c r="A779" s="1" t="s">
        <v>1639</v>
      </c>
      <c r="B779" s="1" t="s">
        <v>1640</v>
      </c>
      <c r="C779" s="15">
        <f>+36303806256</f>
        <v>36303806256</v>
      </c>
      <c r="D779" s="1">
        <v>4.0</v>
      </c>
      <c r="E779" s="1">
        <v>3.0</v>
      </c>
      <c r="F779" s="1">
        <v>32300.0</v>
      </c>
    </row>
    <row r="780">
      <c r="A780" s="1" t="s">
        <v>1641</v>
      </c>
      <c r="B780" s="1" t="s">
        <v>1642</v>
      </c>
      <c r="C780" s="15">
        <f>+36706132781</f>
        <v>36706132781</v>
      </c>
      <c r="D780" s="1">
        <v>2.0</v>
      </c>
      <c r="E780" s="1">
        <v>3.0</v>
      </c>
      <c r="F780" s="1">
        <v>27600.0</v>
      </c>
    </row>
    <row r="781">
      <c r="A781" s="1" t="s">
        <v>1643</v>
      </c>
      <c r="B781" s="1" t="s">
        <v>1644</v>
      </c>
      <c r="C781" s="15">
        <f>+36203943258</f>
        <v>36203943258</v>
      </c>
      <c r="D781" s="1">
        <v>3.0</v>
      </c>
      <c r="E781" s="1">
        <v>3.0</v>
      </c>
      <c r="F781" s="1">
        <v>23800.0</v>
      </c>
    </row>
    <row r="782">
      <c r="A782" s="1" t="s">
        <v>1645</v>
      </c>
      <c r="B782" s="1" t="s">
        <v>1646</v>
      </c>
      <c r="C782" s="15">
        <f>+36709411227</f>
        <v>36709411227</v>
      </c>
      <c r="D782" s="1">
        <v>5.0</v>
      </c>
      <c r="E782" s="1">
        <v>3.0</v>
      </c>
      <c r="F782" s="1">
        <v>47700.0</v>
      </c>
    </row>
    <row r="783">
      <c r="A783" s="1" t="s">
        <v>1647</v>
      </c>
      <c r="B783" s="1" t="s">
        <v>1648</v>
      </c>
      <c r="C783" s="15">
        <f>+36203770612</f>
        <v>36203770612</v>
      </c>
      <c r="D783" s="1">
        <v>3.0</v>
      </c>
      <c r="E783" s="1">
        <v>3.0</v>
      </c>
      <c r="F783" s="1">
        <v>28700.0</v>
      </c>
    </row>
    <row r="784">
      <c r="A784" s="1" t="s">
        <v>1649</v>
      </c>
      <c r="B784" s="1" t="s">
        <v>1650</v>
      </c>
      <c r="C784" s="15">
        <f>+36703969749</f>
        <v>36703969749</v>
      </c>
      <c r="D784" s="1">
        <v>3.0</v>
      </c>
      <c r="E784" s="1">
        <v>3.0</v>
      </c>
      <c r="F784" s="1">
        <v>26900.0</v>
      </c>
    </row>
    <row r="785">
      <c r="A785" s="1" t="s">
        <v>1651</v>
      </c>
      <c r="B785" s="1" t="s">
        <v>1652</v>
      </c>
      <c r="C785" s="15">
        <f>+36705258085</f>
        <v>36705258085</v>
      </c>
      <c r="D785" s="1">
        <v>3.0</v>
      </c>
      <c r="E785" s="1">
        <v>3.0</v>
      </c>
      <c r="F785" s="1">
        <v>26800.0</v>
      </c>
    </row>
    <row r="786">
      <c r="A786" s="1" t="s">
        <v>1653</v>
      </c>
      <c r="B786" s="1" t="s">
        <v>1654</v>
      </c>
      <c r="C786" s="15">
        <f>+36205282486</f>
        <v>36205282486</v>
      </c>
      <c r="D786" s="1">
        <v>3.0</v>
      </c>
      <c r="E786" s="1">
        <v>3.0</v>
      </c>
      <c r="F786" s="1">
        <v>32300.0</v>
      </c>
    </row>
    <row r="787">
      <c r="A787" s="1" t="s">
        <v>1655</v>
      </c>
      <c r="B787" s="1" t="s">
        <v>1656</v>
      </c>
      <c r="C787" s="15">
        <f>+36703911087</f>
        <v>36703911087</v>
      </c>
      <c r="D787" s="1">
        <v>3.0</v>
      </c>
      <c r="E787" s="1">
        <v>3.0</v>
      </c>
      <c r="F787" s="1">
        <v>32900.0</v>
      </c>
    </row>
    <row r="788">
      <c r="A788" s="1" t="s">
        <v>1657</v>
      </c>
      <c r="B788" s="1" t="s">
        <v>1658</v>
      </c>
      <c r="C788" s="15">
        <f>+36303776298</f>
        <v>36303776298</v>
      </c>
      <c r="D788" s="1">
        <v>2.0</v>
      </c>
      <c r="E788" s="1">
        <v>3.0</v>
      </c>
      <c r="F788" s="1">
        <v>34800.0</v>
      </c>
    </row>
    <row r="789">
      <c r="A789" s="1" t="s">
        <v>1659</v>
      </c>
      <c r="B789" s="1" t="s">
        <v>1660</v>
      </c>
      <c r="C789" s="15">
        <f>+36209780181</f>
        <v>36209780181</v>
      </c>
      <c r="D789" s="1">
        <v>3.0</v>
      </c>
      <c r="E789" s="1">
        <v>3.0</v>
      </c>
      <c r="F789" s="1">
        <v>31500.0</v>
      </c>
    </row>
    <row r="790">
      <c r="A790" s="1" t="s">
        <v>1661</v>
      </c>
      <c r="B790" s="1" t="s">
        <v>1662</v>
      </c>
      <c r="C790" s="15">
        <f>+36306918153</f>
        <v>36306918153</v>
      </c>
      <c r="D790" s="1">
        <v>3.0</v>
      </c>
      <c r="E790" s="1">
        <v>3.0</v>
      </c>
      <c r="F790" s="1">
        <v>48200.0</v>
      </c>
    </row>
    <row r="791">
      <c r="A791" s="1" t="s">
        <v>1663</v>
      </c>
      <c r="B791" s="1" t="s">
        <v>1664</v>
      </c>
      <c r="C791" s="15">
        <f>+36202833832</f>
        <v>36202833832</v>
      </c>
      <c r="D791" s="1">
        <v>3.0</v>
      </c>
      <c r="E791" s="1">
        <v>3.0</v>
      </c>
      <c r="F791" s="1">
        <v>27700.0</v>
      </c>
    </row>
    <row r="792">
      <c r="A792" s="1" t="s">
        <v>1665</v>
      </c>
      <c r="B792" s="1" t="s">
        <v>1666</v>
      </c>
      <c r="C792" s="15">
        <f>+36300943907</f>
        <v>36300943907</v>
      </c>
      <c r="D792" s="1">
        <v>2.0</v>
      </c>
      <c r="E792" s="1">
        <v>3.0</v>
      </c>
      <c r="F792" s="1">
        <v>22500.0</v>
      </c>
    </row>
    <row r="793">
      <c r="A793" s="1" t="s">
        <v>1667</v>
      </c>
      <c r="B793" s="1" t="s">
        <v>1668</v>
      </c>
      <c r="C793" s="15">
        <f>+36702471303</f>
        <v>36702471303</v>
      </c>
      <c r="D793" s="1">
        <v>3.0</v>
      </c>
      <c r="E793" s="1">
        <v>3.0</v>
      </c>
      <c r="F793" s="1">
        <v>20000.0</v>
      </c>
    </row>
    <row r="794">
      <c r="A794" s="1" t="s">
        <v>1669</v>
      </c>
      <c r="B794" s="1" t="s">
        <v>1670</v>
      </c>
      <c r="C794" s="15">
        <f>+421908592166</f>
        <v>421908592166</v>
      </c>
      <c r="D794" s="1">
        <v>3.0</v>
      </c>
      <c r="E794" s="1">
        <v>3.0</v>
      </c>
      <c r="F794" s="1">
        <v>32600.0</v>
      </c>
    </row>
    <row r="795">
      <c r="A795" s="1" t="s">
        <v>1671</v>
      </c>
      <c r="B795" s="1" t="s">
        <v>1672</v>
      </c>
      <c r="C795" s="15">
        <f>+36304069743</f>
        <v>36304069743</v>
      </c>
      <c r="D795" s="1">
        <v>3.0</v>
      </c>
      <c r="E795" s="1">
        <v>3.0</v>
      </c>
      <c r="F795" s="1">
        <v>24800.0</v>
      </c>
    </row>
    <row r="796">
      <c r="A796" s="1" t="s">
        <v>1673</v>
      </c>
      <c r="B796" s="1" t="s">
        <v>1674</v>
      </c>
      <c r="C796" s="15">
        <f>+36702350177</f>
        <v>36702350177</v>
      </c>
      <c r="D796" s="1">
        <v>3.0</v>
      </c>
      <c r="E796" s="1">
        <v>3.0</v>
      </c>
      <c r="F796" s="1">
        <v>29600.0</v>
      </c>
    </row>
    <row r="797">
      <c r="A797" s="1" t="s">
        <v>1675</v>
      </c>
      <c r="B797" s="1" t="s">
        <v>1676</v>
      </c>
      <c r="C797" s="15">
        <f>+36703359865</f>
        <v>36703359865</v>
      </c>
      <c r="D797" s="1">
        <v>2.0</v>
      </c>
      <c r="E797" s="1">
        <v>3.0</v>
      </c>
      <c r="F797" s="1">
        <v>30100.0</v>
      </c>
    </row>
    <row r="798">
      <c r="A798" s="1" t="s">
        <v>1677</v>
      </c>
      <c r="B798" s="1" t="s">
        <v>1678</v>
      </c>
      <c r="C798" s="15">
        <f>+36209555945</f>
        <v>36209555945</v>
      </c>
      <c r="D798" s="1">
        <v>3.0</v>
      </c>
      <c r="E798" s="1">
        <v>3.0</v>
      </c>
      <c r="F798" s="1">
        <v>21200.0</v>
      </c>
    </row>
    <row r="799">
      <c r="A799" s="1" t="s">
        <v>1679</v>
      </c>
      <c r="B799" s="1" t="s">
        <v>1680</v>
      </c>
      <c r="C799" s="15">
        <f>+36303646206</f>
        <v>36303646206</v>
      </c>
      <c r="D799" s="1">
        <v>3.0</v>
      </c>
      <c r="E799" s="1">
        <v>3.0</v>
      </c>
      <c r="F799" s="1">
        <v>31800.0</v>
      </c>
    </row>
    <row r="800">
      <c r="A800" s="1" t="s">
        <v>1681</v>
      </c>
      <c r="B800" s="1" t="s">
        <v>1682</v>
      </c>
      <c r="C800" s="15">
        <f>+36205105542</f>
        <v>36205105542</v>
      </c>
      <c r="D800" s="1">
        <v>2.0</v>
      </c>
      <c r="E800" s="1">
        <v>3.0</v>
      </c>
      <c r="F800" s="1">
        <v>29300.0</v>
      </c>
    </row>
    <row r="801">
      <c r="A801" s="1" t="s">
        <v>1683</v>
      </c>
      <c r="B801" s="1" t="s">
        <v>1684</v>
      </c>
      <c r="C801" s="15">
        <f>+36702638167</f>
        <v>36702638167</v>
      </c>
      <c r="D801" s="1">
        <v>3.0</v>
      </c>
      <c r="E801" s="1">
        <v>3.0</v>
      </c>
      <c r="F801" s="1">
        <v>27600.0</v>
      </c>
    </row>
    <row r="802">
      <c r="A802" s="1" t="s">
        <v>1685</v>
      </c>
      <c r="B802" s="1" t="s">
        <v>1686</v>
      </c>
      <c r="C802" s="15">
        <f>+36306173007</f>
        <v>36306173007</v>
      </c>
      <c r="D802" s="1">
        <v>3.0</v>
      </c>
      <c r="E802" s="1">
        <v>3.0</v>
      </c>
      <c r="F802" s="1">
        <v>25700.0</v>
      </c>
    </row>
    <row r="803">
      <c r="A803" s="1" t="s">
        <v>1687</v>
      </c>
      <c r="B803" s="1" t="s">
        <v>1688</v>
      </c>
      <c r="C803" s="15">
        <f>+36303167276</f>
        <v>36303167276</v>
      </c>
      <c r="D803" s="1">
        <v>2.0</v>
      </c>
      <c r="E803" s="1">
        <v>3.0</v>
      </c>
      <c r="F803" s="1">
        <v>33100.0</v>
      </c>
    </row>
    <row r="804">
      <c r="A804" s="1" t="s">
        <v>1689</v>
      </c>
      <c r="B804" s="1" t="s">
        <v>1690</v>
      </c>
      <c r="C804" s="15">
        <f>+36306844343</f>
        <v>36306844343</v>
      </c>
      <c r="D804" s="1">
        <v>2.0</v>
      </c>
      <c r="E804" s="1">
        <v>3.0</v>
      </c>
      <c r="F804" s="1">
        <v>32300.0</v>
      </c>
    </row>
    <row r="805">
      <c r="A805" s="1" t="s">
        <v>1691</v>
      </c>
      <c r="B805" s="1" t="s">
        <v>1692</v>
      </c>
      <c r="C805" s="15">
        <f>+36305345849</f>
        <v>36305345849</v>
      </c>
      <c r="D805" s="1">
        <v>4.0</v>
      </c>
      <c r="E805" s="1">
        <v>3.0</v>
      </c>
      <c r="F805" s="1">
        <v>56900.0</v>
      </c>
    </row>
    <row r="806">
      <c r="A806" s="1" t="s">
        <v>1693</v>
      </c>
      <c r="B806" s="1" t="s">
        <v>1694</v>
      </c>
      <c r="C806" s="15">
        <f>+36302350251</f>
        <v>36302350251</v>
      </c>
      <c r="D806" s="1">
        <v>3.0</v>
      </c>
      <c r="E806" s="1">
        <v>3.0</v>
      </c>
      <c r="F806" s="1">
        <v>24200.0</v>
      </c>
    </row>
    <row r="807">
      <c r="A807" s="1" t="s">
        <v>1695</v>
      </c>
      <c r="B807" s="1" t="s">
        <v>1696</v>
      </c>
      <c r="C807" s="15">
        <f>+36205534534</f>
        <v>36205534534</v>
      </c>
      <c r="D807" s="1">
        <v>3.0</v>
      </c>
      <c r="E807" s="1">
        <v>3.0</v>
      </c>
      <c r="F807" s="1">
        <v>26800.0</v>
      </c>
    </row>
    <row r="808">
      <c r="A808" s="1" t="s">
        <v>1697</v>
      </c>
      <c r="B808" s="1" t="s">
        <v>1698</v>
      </c>
      <c r="C808" s="15">
        <f>+36304896773</f>
        <v>36304896773</v>
      </c>
      <c r="D808" s="1">
        <v>3.0</v>
      </c>
      <c r="E808" s="1">
        <v>3.0</v>
      </c>
      <c r="F808" s="1">
        <v>27000.0</v>
      </c>
    </row>
    <row r="809">
      <c r="A809" s="1" t="s">
        <v>1699</v>
      </c>
      <c r="B809" s="1" t="s">
        <v>1700</v>
      </c>
      <c r="C809" s="15">
        <f>+36303176345</f>
        <v>36303176345</v>
      </c>
      <c r="D809" s="1">
        <v>4.0</v>
      </c>
      <c r="E809" s="1">
        <v>3.0</v>
      </c>
      <c r="F809" s="1">
        <v>39400.0</v>
      </c>
    </row>
    <row r="810">
      <c r="A810" s="1" t="s">
        <v>1701</v>
      </c>
      <c r="B810" s="1" t="s">
        <v>1702</v>
      </c>
      <c r="C810" s="15">
        <f>+36708810318</f>
        <v>36708810318</v>
      </c>
      <c r="D810" s="1">
        <v>3.0</v>
      </c>
      <c r="E810" s="1">
        <v>3.0</v>
      </c>
      <c r="F810" s="1">
        <v>28300.0</v>
      </c>
    </row>
    <row r="811">
      <c r="A811" s="1" t="s">
        <v>1703</v>
      </c>
      <c r="B811" s="1" t="s">
        <v>1704</v>
      </c>
      <c r="C811" s="15">
        <f>+381605965775</f>
        <v>381605965775</v>
      </c>
      <c r="D811" s="1">
        <v>2.0</v>
      </c>
      <c r="E811" s="1">
        <v>3.0</v>
      </c>
      <c r="F811" s="1">
        <v>22400.0</v>
      </c>
    </row>
    <row r="812">
      <c r="A812" s="1" t="s">
        <v>1705</v>
      </c>
      <c r="B812" s="1" t="s">
        <v>1706</v>
      </c>
      <c r="C812" s="15">
        <f>+36308674269</f>
        <v>36308674269</v>
      </c>
      <c r="D812" s="1">
        <v>3.0</v>
      </c>
      <c r="E812" s="1">
        <v>3.0</v>
      </c>
      <c r="F812" s="1">
        <v>36000.0</v>
      </c>
    </row>
    <row r="813">
      <c r="A813" s="1" t="s">
        <v>1707</v>
      </c>
      <c r="B813" s="1" t="s">
        <v>1708</v>
      </c>
      <c r="C813" s="15">
        <f>+36207460548</f>
        <v>36207460548</v>
      </c>
      <c r="D813" s="1">
        <v>2.0</v>
      </c>
      <c r="E813" s="1">
        <v>3.0</v>
      </c>
      <c r="F813" s="1">
        <v>39100.0</v>
      </c>
    </row>
    <row r="814">
      <c r="A814" s="1" t="s">
        <v>1709</v>
      </c>
      <c r="B814" s="1" t="s">
        <v>1710</v>
      </c>
      <c r="C814" s="15">
        <f>+36209279887</f>
        <v>36209279887</v>
      </c>
      <c r="D814" s="1">
        <v>4.0</v>
      </c>
      <c r="E814" s="1">
        <v>3.0</v>
      </c>
      <c r="F814" s="1">
        <v>43100.0</v>
      </c>
    </row>
    <row r="815">
      <c r="A815" s="1" t="s">
        <v>1711</v>
      </c>
      <c r="B815" s="1" t="s">
        <v>1712</v>
      </c>
      <c r="C815" s="15">
        <f>+36706007999</f>
        <v>36706007999</v>
      </c>
      <c r="D815" s="1">
        <v>4.0</v>
      </c>
      <c r="E815" s="1">
        <v>3.0</v>
      </c>
      <c r="F815" s="1">
        <v>49300.0</v>
      </c>
    </row>
    <row r="816">
      <c r="A816" s="1" t="s">
        <v>1713</v>
      </c>
      <c r="B816" s="1" t="s">
        <v>1714</v>
      </c>
      <c r="C816" s="15">
        <f>+36203788484</f>
        <v>36203788484</v>
      </c>
      <c r="D816" s="1">
        <v>4.0</v>
      </c>
      <c r="E816" s="1">
        <v>3.0</v>
      </c>
      <c r="F816" s="1">
        <v>59200.0</v>
      </c>
    </row>
    <row r="817">
      <c r="A817" s="1" t="s">
        <v>1715</v>
      </c>
      <c r="B817" s="1" t="s">
        <v>1716</v>
      </c>
      <c r="C817" s="15">
        <f>+36209788446</f>
        <v>36209788446</v>
      </c>
      <c r="D817" s="1">
        <v>2.0</v>
      </c>
      <c r="E817" s="1">
        <v>3.0</v>
      </c>
      <c r="F817" s="1">
        <v>24900.0</v>
      </c>
    </row>
    <row r="818">
      <c r="A818" s="1" t="s">
        <v>1717</v>
      </c>
      <c r="B818" s="1" t="s">
        <v>1718</v>
      </c>
      <c r="C818" s="15">
        <f>+36705960440</f>
        <v>36705960440</v>
      </c>
      <c r="D818" s="1">
        <v>2.0</v>
      </c>
      <c r="E818" s="1">
        <v>3.0</v>
      </c>
      <c r="F818" s="1">
        <v>22900.0</v>
      </c>
    </row>
    <row r="819">
      <c r="A819" s="1" t="s">
        <v>1719</v>
      </c>
      <c r="B819" s="1" t="s">
        <v>1720</v>
      </c>
      <c r="C819" s="15">
        <f>+36205197005</f>
        <v>36205197005</v>
      </c>
      <c r="D819" s="1">
        <v>4.0</v>
      </c>
      <c r="E819" s="1">
        <v>3.0</v>
      </c>
      <c r="F819" s="1">
        <v>38400.0</v>
      </c>
    </row>
    <row r="820">
      <c r="A820" s="1" t="s">
        <v>1721</v>
      </c>
      <c r="B820" s="1" t="s">
        <v>1722</v>
      </c>
      <c r="C820" s="15">
        <f>+36307449794</f>
        <v>36307449794</v>
      </c>
      <c r="D820" s="1">
        <v>4.0</v>
      </c>
      <c r="E820" s="1">
        <v>3.0</v>
      </c>
      <c r="F820" s="1">
        <v>36900.0</v>
      </c>
    </row>
    <row r="821">
      <c r="A821" s="1" t="s">
        <v>1723</v>
      </c>
      <c r="B821" s="1" t="s">
        <v>1724</v>
      </c>
      <c r="C821" s="15">
        <f>+36307603979</f>
        <v>36307603979</v>
      </c>
      <c r="D821" s="1">
        <v>3.0</v>
      </c>
      <c r="E821" s="1">
        <v>3.0</v>
      </c>
      <c r="F821" s="1">
        <v>31700.0</v>
      </c>
    </row>
    <row r="822">
      <c r="A822" s="1" t="s">
        <v>1725</v>
      </c>
      <c r="B822" s="1" t="s">
        <v>1726</v>
      </c>
      <c r="C822" s="15">
        <f>+36306346061</f>
        <v>36306346061</v>
      </c>
      <c r="D822" s="1">
        <v>2.0</v>
      </c>
      <c r="E822" s="1">
        <v>3.0</v>
      </c>
      <c r="F822" s="1">
        <v>43800.0</v>
      </c>
    </row>
    <row r="823">
      <c r="A823" s="1" t="s">
        <v>1727</v>
      </c>
      <c r="B823" s="1" t="s">
        <v>1728</v>
      </c>
      <c r="C823" s="15">
        <f>+36204805970</f>
        <v>36204805970</v>
      </c>
      <c r="D823" s="1">
        <v>3.0</v>
      </c>
      <c r="E823" s="1">
        <v>3.0</v>
      </c>
      <c r="F823" s="1">
        <v>26800.0</v>
      </c>
    </row>
    <row r="824">
      <c r="A824" s="1" t="s">
        <v>1729</v>
      </c>
      <c r="B824" s="1" t="s">
        <v>1730</v>
      </c>
      <c r="C824" s="15">
        <f>+36704597138</f>
        <v>36704597138</v>
      </c>
      <c r="D824" s="1">
        <v>3.0</v>
      </c>
      <c r="E824" s="1">
        <v>3.0</v>
      </c>
      <c r="F824" s="1">
        <v>24900.0</v>
      </c>
    </row>
    <row r="825">
      <c r="A825" s="1" t="s">
        <v>1731</v>
      </c>
      <c r="B825" s="1" t="s">
        <v>1732</v>
      </c>
      <c r="C825" s="15">
        <f>+36307002350</f>
        <v>36307002350</v>
      </c>
      <c r="D825" s="1">
        <v>3.0</v>
      </c>
      <c r="E825" s="1">
        <v>3.0</v>
      </c>
      <c r="F825" s="1">
        <v>40500.0</v>
      </c>
    </row>
    <row r="826">
      <c r="A826" s="1" t="s">
        <v>1733</v>
      </c>
      <c r="B826" s="1" t="s">
        <v>1734</v>
      </c>
      <c r="C826" s="15">
        <f>+36703122879</f>
        <v>36703122879</v>
      </c>
      <c r="D826" s="1">
        <v>2.0</v>
      </c>
      <c r="E826" s="1">
        <v>3.0</v>
      </c>
      <c r="F826" s="1">
        <v>26600.0</v>
      </c>
    </row>
    <row r="827">
      <c r="A827" s="1" t="s">
        <v>1735</v>
      </c>
      <c r="B827" s="1" t="s">
        <v>1736</v>
      </c>
      <c r="C827" s="15">
        <f>+38163454699</f>
        <v>38163454699</v>
      </c>
      <c r="D827" s="1">
        <v>1.0</v>
      </c>
      <c r="E827" s="1">
        <v>3.0</v>
      </c>
      <c r="F827" s="1">
        <v>39000.0</v>
      </c>
    </row>
    <row r="828">
      <c r="A828" s="1" t="s">
        <v>1737</v>
      </c>
      <c r="B828" s="1" t="s">
        <v>1738</v>
      </c>
      <c r="C828" s="15">
        <f>+36306754864</f>
        <v>36306754864</v>
      </c>
      <c r="D828" s="1">
        <v>4.0</v>
      </c>
      <c r="E828" s="1">
        <v>3.0</v>
      </c>
      <c r="F828" s="1">
        <v>36100.0</v>
      </c>
    </row>
    <row r="829">
      <c r="A829" s="1" t="s">
        <v>1739</v>
      </c>
      <c r="B829" s="1" t="s">
        <v>1740</v>
      </c>
      <c r="C829" s="15">
        <f>+36702079316</f>
        <v>36702079316</v>
      </c>
      <c r="D829" s="1">
        <v>2.0</v>
      </c>
      <c r="E829" s="1">
        <v>3.0</v>
      </c>
      <c r="F829" s="1">
        <v>29100.0</v>
      </c>
    </row>
    <row r="830">
      <c r="A830" s="1" t="s">
        <v>1741</v>
      </c>
      <c r="B830" s="1" t="s">
        <v>1742</v>
      </c>
      <c r="C830" s="15">
        <f>+36307767017</f>
        <v>36307767017</v>
      </c>
      <c r="D830" s="1">
        <v>3.0</v>
      </c>
      <c r="E830" s="1">
        <v>3.0</v>
      </c>
      <c r="F830" s="1">
        <v>36600.0</v>
      </c>
    </row>
    <row r="831">
      <c r="A831" s="1" t="s">
        <v>1743</v>
      </c>
      <c r="B831" s="1" t="s">
        <v>1744</v>
      </c>
      <c r="C831" s="15">
        <f>+36303236653</f>
        <v>36303236653</v>
      </c>
      <c r="D831" s="1">
        <v>3.0</v>
      </c>
      <c r="E831" s="1">
        <v>3.0</v>
      </c>
      <c r="F831" s="1">
        <v>28700.0</v>
      </c>
    </row>
    <row r="832">
      <c r="A832" s="1" t="s">
        <v>1745</v>
      </c>
      <c r="B832" s="1" t="s">
        <v>1746</v>
      </c>
      <c r="C832" s="15">
        <f>+40722226373</f>
        <v>40722226373</v>
      </c>
      <c r="D832" s="1">
        <v>3.0</v>
      </c>
      <c r="E832" s="1">
        <v>3.0</v>
      </c>
      <c r="F832" s="1">
        <v>36700.0</v>
      </c>
    </row>
    <row r="833">
      <c r="A833" s="1" t="s">
        <v>1747</v>
      </c>
      <c r="B833" s="1" t="s">
        <v>1748</v>
      </c>
      <c r="C833" s="15">
        <f>+36309141635</f>
        <v>36309141635</v>
      </c>
      <c r="D833" s="1">
        <v>3.0</v>
      </c>
      <c r="E833" s="1">
        <v>3.0</v>
      </c>
      <c r="F833" s="1">
        <v>34200.0</v>
      </c>
    </row>
    <row r="834">
      <c r="A834" s="1" t="s">
        <v>1749</v>
      </c>
      <c r="B834" s="1" t="s">
        <v>1750</v>
      </c>
      <c r="C834" s="15">
        <f>+36209144801</f>
        <v>36209144801</v>
      </c>
      <c r="D834" s="1">
        <v>3.0</v>
      </c>
      <c r="E834" s="1">
        <v>3.0</v>
      </c>
      <c r="F834" s="1">
        <v>32400.0</v>
      </c>
    </row>
    <row r="835">
      <c r="A835" s="1" t="s">
        <v>1751</v>
      </c>
      <c r="B835" s="1" t="s">
        <v>1752</v>
      </c>
      <c r="C835" s="15">
        <f>+36308160522</f>
        <v>36308160522</v>
      </c>
      <c r="D835" s="1">
        <v>2.0</v>
      </c>
      <c r="E835" s="1">
        <v>3.0</v>
      </c>
      <c r="F835" s="1">
        <v>25200.0</v>
      </c>
    </row>
    <row r="836">
      <c r="A836" s="1" t="s">
        <v>1753</v>
      </c>
      <c r="B836" s="1" t="s">
        <v>1754</v>
      </c>
      <c r="C836" s="15">
        <f>+36706739891</f>
        <v>36706739891</v>
      </c>
      <c r="D836" s="1">
        <v>3.0</v>
      </c>
      <c r="E836" s="1">
        <v>3.0</v>
      </c>
      <c r="F836" s="1">
        <v>31700.0</v>
      </c>
    </row>
    <row r="837">
      <c r="A837" s="1" t="s">
        <v>1755</v>
      </c>
      <c r="B837" s="1" t="s">
        <v>1756</v>
      </c>
      <c r="C837" s="15">
        <f>+36302345671</f>
        <v>36302345671</v>
      </c>
      <c r="D837" s="1">
        <v>4.0</v>
      </c>
      <c r="E837" s="1">
        <v>3.0</v>
      </c>
      <c r="F837" s="1">
        <v>38800.0</v>
      </c>
    </row>
    <row r="838">
      <c r="A838" s="1" t="s">
        <v>1757</v>
      </c>
      <c r="B838" s="1" t="s">
        <v>1758</v>
      </c>
      <c r="C838" s="15">
        <f>+36209910433</f>
        <v>36209910433</v>
      </c>
      <c r="D838" s="1">
        <v>2.0</v>
      </c>
      <c r="E838" s="1">
        <v>3.0</v>
      </c>
      <c r="F838" s="1">
        <v>41200.0</v>
      </c>
    </row>
    <row r="839">
      <c r="A839" s="1" t="s">
        <v>1759</v>
      </c>
      <c r="B839" s="1" t="s">
        <v>1760</v>
      </c>
      <c r="C839" s="15">
        <f>+36309148531</f>
        <v>36309148531</v>
      </c>
      <c r="D839" s="1">
        <v>3.0</v>
      </c>
      <c r="E839" s="1">
        <v>3.0</v>
      </c>
      <c r="F839" s="1">
        <v>38600.0</v>
      </c>
    </row>
    <row r="840">
      <c r="A840" s="1" t="s">
        <v>1761</v>
      </c>
      <c r="B840" s="1" t="s">
        <v>1762</v>
      </c>
      <c r="C840" s="15">
        <f>+36302746457</f>
        <v>36302746457</v>
      </c>
      <c r="D840" s="1">
        <v>2.0</v>
      </c>
      <c r="E840" s="1">
        <v>3.0</v>
      </c>
      <c r="F840" s="1">
        <v>34100.0</v>
      </c>
    </row>
    <row r="841">
      <c r="A841" s="1" t="s">
        <v>1763</v>
      </c>
      <c r="B841" s="1" t="s">
        <v>1764</v>
      </c>
      <c r="C841" s="15">
        <f>+36705889900</f>
        <v>36705889900</v>
      </c>
      <c r="D841" s="1">
        <v>3.0</v>
      </c>
      <c r="E841" s="1">
        <v>3.0</v>
      </c>
      <c r="F841" s="1">
        <v>24900.0</v>
      </c>
    </row>
    <row r="842">
      <c r="A842" s="1" t="s">
        <v>1765</v>
      </c>
      <c r="B842" s="1" t="s">
        <v>1766</v>
      </c>
      <c r="C842" s="15">
        <f>+36305168806</f>
        <v>36305168806</v>
      </c>
      <c r="D842" s="1">
        <v>3.0</v>
      </c>
      <c r="E842" s="1">
        <v>3.0</v>
      </c>
      <c r="F842" s="1">
        <v>22400.0</v>
      </c>
    </row>
    <row r="843">
      <c r="A843" s="1" t="s">
        <v>1767</v>
      </c>
      <c r="B843" s="1" t="s">
        <v>1768</v>
      </c>
      <c r="C843" s="15">
        <f>+36204256111</f>
        <v>36204256111</v>
      </c>
      <c r="D843" s="1">
        <v>3.0</v>
      </c>
      <c r="E843" s="1">
        <v>3.0</v>
      </c>
      <c r="F843" s="1">
        <v>55700.0</v>
      </c>
    </row>
    <row r="844">
      <c r="A844" s="1" t="s">
        <v>1769</v>
      </c>
      <c r="B844" s="1" t="s">
        <v>1770</v>
      </c>
      <c r="C844" s="15">
        <f>+36706837063</f>
        <v>36706837063</v>
      </c>
      <c r="D844" s="1">
        <v>2.0</v>
      </c>
      <c r="E844" s="1">
        <v>3.0</v>
      </c>
      <c r="F844" s="1">
        <v>29000.0</v>
      </c>
    </row>
    <row r="845">
      <c r="A845" s="1" t="s">
        <v>1771</v>
      </c>
      <c r="B845" s="1" t="s">
        <v>1772</v>
      </c>
      <c r="C845" s="15">
        <f>+36306591639</f>
        <v>36306591639</v>
      </c>
      <c r="D845" s="1">
        <v>3.0</v>
      </c>
      <c r="E845" s="1">
        <v>3.0</v>
      </c>
      <c r="F845" s="1">
        <v>21400.0</v>
      </c>
    </row>
    <row r="846">
      <c r="A846" s="1" t="s">
        <v>1773</v>
      </c>
      <c r="B846" s="1" t="s">
        <v>1774</v>
      </c>
      <c r="C846" s="15">
        <f>+36208060533</f>
        <v>36208060533</v>
      </c>
      <c r="D846" s="1">
        <v>3.0</v>
      </c>
      <c r="E846" s="1">
        <v>3.0</v>
      </c>
      <c r="F846" s="1">
        <v>24900.0</v>
      </c>
    </row>
    <row r="847">
      <c r="A847" s="1" t="s">
        <v>1775</v>
      </c>
      <c r="B847" s="1" t="s">
        <v>1776</v>
      </c>
      <c r="C847" s="15">
        <f>+36706010627</f>
        <v>36706010627</v>
      </c>
      <c r="D847" s="1">
        <v>3.0</v>
      </c>
      <c r="E847" s="1">
        <v>3.0</v>
      </c>
      <c r="F847" s="1">
        <v>59400.0</v>
      </c>
    </row>
    <row r="848">
      <c r="A848" s="1" t="s">
        <v>1777</v>
      </c>
      <c r="B848" s="1" t="s">
        <v>1778</v>
      </c>
      <c r="C848" s="15">
        <f>+36209463052</f>
        <v>36209463052</v>
      </c>
      <c r="D848" s="1">
        <v>5.0</v>
      </c>
      <c r="E848" s="1">
        <v>3.0</v>
      </c>
      <c r="F848" s="1">
        <v>44500.0</v>
      </c>
    </row>
    <row r="849">
      <c r="A849" s="1" t="s">
        <v>1779</v>
      </c>
      <c r="B849" s="1" t="s">
        <v>1780</v>
      </c>
      <c r="C849" s="15">
        <f>+36202543691</f>
        <v>36202543691</v>
      </c>
      <c r="D849" s="1">
        <v>2.0</v>
      </c>
      <c r="E849" s="1">
        <v>3.0</v>
      </c>
      <c r="F849" s="1">
        <v>37400.0</v>
      </c>
    </row>
    <row r="850">
      <c r="A850" s="1" t="s">
        <v>1781</v>
      </c>
      <c r="B850" s="1" t="s">
        <v>1782</v>
      </c>
      <c r="C850" s="15">
        <f>+36209235988</f>
        <v>36209235988</v>
      </c>
      <c r="D850" s="1">
        <v>4.0</v>
      </c>
      <c r="E850" s="1">
        <v>3.0</v>
      </c>
      <c r="F850" s="1">
        <v>20400.0</v>
      </c>
    </row>
    <row r="851">
      <c r="A851" s="1" t="s">
        <v>1783</v>
      </c>
      <c r="B851" s="1" t="s">
        <v>1784</v>
      </c>
      <c r="C851" s="15">
        <f>+36709492703</f>
        <v>36709492703</v>
      </c>
      <c r="D851" s="1">
        <v>2.0</v>
      </c>
      <c r="E851" s="1">
        <v>3.0</v>
      </c>
      <c r="F851" s="1">
        <v>36400.0</v>
      </c>
    </row>
    <row r="852">
      <c r="A852" s="1" t="s">
        <v>1785</v>
      </c>
      <c r="B852" s="1" t="s">
        <v>1786</v>
      </c>
      <c r="C852" s="15">
        <f>+36703359706</f>
        <v>36703359706</v>
      </c>
      <c r="D852" s="1">
        <v>5.0</v>
      </c>
      <c r="E852" s="1">
        <v>3.0</v>
      </c>
      <c r="F852" s="1">
        <v>39300.0</v>
      </c>
    </row>
    <row r="853">
      <c r="A853" s="1" t="s">
        <v>1787</v>
      </c>
      <c r="B853" s="1" t="s">
        <v>1788</v>
      </c>
      <c r="C853" s="15">
        <f>+36301403894</f>
        <v>36301403894</v>
      </c>
      <c r="D853" s="1">
        <v>2.0</v>
      </c>
      <c r="E853" s="1">
        <v>3.0</v>
      </c>
      <c r="F853" s="1">
        <v>23800.0</v>
      </c>
    </row>
    <row r="854">
      <c r="A854" s="1" t="s">
        <v>1789</v>
      </c>
      <c r="B854" s="1" t="s">
        <v>1790</v>
      </c>
      <c r="C854" s="15">
        <f>+36304181289</f>
        <v>36304181289</v>
      </c>
      <c r="D854" s="1">
        <v>3.0</v>
      </c>
      <c r="E854" s="1">
        <v>3.0</v>
      </c>
      <c r="F854" s="1">
        <v>39100.0</v>
      </c>
    </row>
    <row r="855">
      <c r="A855" s="1" t="s">
        <v>1791</v>
      </c>
      <c r="B855" s="1" t="s">
        <v>1792</v>
      </c>
      <c r="C855" s="15">
        <f>+36706505049</f>
        <v>36706505049</v>
      </c>
      <c r="D855" s="1">
        <v>3.0</v>
      </c>
      <c r="E855" s="1">
        <v>3.0</v>
      </c>
      <c r="F855" s="1">
        <v>29700.0</v>
      </c>
    </row>
    <row r="856">
      <c r="A856" s="1" t="s">
        <v>1793</v>
      </c>
      <c r="B856" s="1" t="s">
        <v>1794</v>
      </c>
      <c r="C856" s="15">
        <f>+36306393005</f>
        <v>36306393005</v>
      </c>
      <c r="D856" s="1">
        <v>4.0</v>
      </c>
      <c r="E856" s="1">
        <v>3.0</v>
      </c>
      <c r="F856" s="1">
        <v>27900.0</v>
      </c>
    </row>
    <row r="857">
      <c r="A857" s="1" t="s">
        <v>1795</v>
      </c>
      <c r="B857" s="1" t="s">
        <v>1796</v>
      </c>
      <c r="C857" s="15">
        <f>+36708836166</f>
        <v>36708836166</v>
      </c>
      <c r="D857" s="1">
        <v>3.0</v>
      </c>
      <c r="E857" s="1">
        <v>3.0</v>
      </c>
      <c r="F857" s="1">
        <v>30100.0</v>
      </c>
    </row>
    <row r="858">
      <c r="A858" s="1" t="s">
        <v>1797</v>
      </c>
      <c r="B858" s="1" t="s">
        <v>1798</v>
      </c>
      <c r="C858" s="15">
        <f>+36309304703</f>
        <v>36309304703</v>
      </c>
      <c r="D858" s="1">
        <v>2.0</v>
      </c>
      <c r="E858" s="1">
        <v>3.0</v>
      </c>
      <c r="F858" s="1">
        <v>25100.0</v>
      </c>
    </row>
    <row r="859">
      <c r="A859" s="1" t="s">
        <v>1799</v>
      </c>
      <c r="B859" s="1" t="s">
        <v>1800</v>
      </c>
      <c r="C859" s="15">
        <f>+36202799491</f>
        <v>36202799491</v>
      </c>
      <c r="D859" s="1">
        <v>2.0</v>
      </c>
      <c r="E859" s="1">
        <v>3.0</v>
      </c>
      <c r="F859" s="1">
        <v>33100.0</v>
      </c>
    </row>
    <row r="860">
      <c r="A860" s="1" t="s">
        <v>1801</v>
      </c>
      <c r="B860" s="1" t="s">
        <v>1802</v>
      </c>
      <c r="C860" s="15">
        <f>+36304373146</f>
        <v>36304373146</v>
      </c>
      <c r="D860" s="1">
        <v>2.0</v>
      </c>
      <c r="E860" s="1">
        <v>3.0</v>
      </c>
      <c r="F860" s="1">
        <v>32900.0</v>
      </c>
    </row>
    <row r="861">
      <c r="A861" s="1" t="s">
        <v>1803</v>
      </c>
      <c r="B861" s="1" t="s">
        <v>1804</v>
      </c>
      <c r="C861" s="15">
        <f>+36307190310</f>
        <v>36307190310</v>
      </c>
      <c r="D861" s="1">
        <v>1.0</v>
      </c>
      <c r="E861" s="1">
        <v>3.0</v>
      </c>
      <c r="F861" s="1">
        <v>34800.0</v>
      </c>
    </row>
    <row r="862">
      <c r="A862" s="1" t="s">
        <v>1805</v>
      </c>
      <c r="B862" s="1" t="s">
        <v>1806</v>
      </c>
      <c r="C862" s="15">
        <f>+421915462475</f>
        <v>421915462475</v>
      </c>
      <c r="D862" s="1">
        <v>5.0</v>
      </c>
      <c r="E862" s="1">
        <v>3.0</v>
      </c>
      <c r="F862" s="1">
        <v>51700.0</v>
      </c>
    </row>
    <row r="863">
      <c r="A863" s="1" t="s">
        <v>1807</v>
      </c>
      <c r="B863" s="1" t="s">
        <v>1808</v>
      </c>
      <c r="C863" s="15">
        <f>+36204454343</f>
        <v>36204454343</v>
      </c>
      <c r="D863" s="1">
        <v>2.0</v>
      </c>
      <c r="E863" s="1">
        <v>3.0</v>
      </c>
      <c r="F863" s="1">
        <v>31900.0</v>
      </c>
    </row>
    <row r="864">
      <c r="A864" s="1" t="s">
        <v>1809</v>
      </c>
      <c r="B864" s="1" t="s">
        <v>1810</v>
      </c>
      <c r="C864" s="15">
        <f>+36307176136</f>
        <v>36307176136</v>
      </c>
      <c r="D864" s="1">
        <v>2.0</v>
      </c>
      <c r="E864" s="1">
        <v>3.0</v>
      </c>
      <c r="F864" s="1">
        <v>36400.0</v>
      </c>
    </row>
    <row r="865">
      <c r="A865" s="1" t="s">
        <v>1811</v>
      </c>
      <c r="B865" s="1" t="s">
        <v>1812</v>
      </c>
      <c r="C865" s="15">
        <f>+36313266462</f>
        <v>36313266462</v>
      </c>
      <c r="D865" s="1">
        <v>2.0</v>
      </c>
      <c r="E865" s="1">
        <v>3.0</v>
      </c>
      <c r="F865" s="1">
        <v>24000.0</v>
      </c>
    </row>
    <row r="866">
      <c r="A866" s="1" t="s">
        <v>1813</v>
      </c>
      <c r="B866" s="1" t="s">
        <v>1814</v>
      </c>
      <c r="C866" s="15">
        <f>+36707775110</f>
        <v>36707775110</v>
      </c>
      <c r="D866" s="1">
        <v>2.0</v>
      </c>
      <c r="E866" s="1">
        <v>3.0</v>
      </c>
      <c r="F866" s="1">
        <v>20500.0</v>
      </c>
    </row>
    <row r="867">
      <c r="A867" s="1" t="s">
        <v>1815</v>
      </c>
      <c r="B867" s="1" t="s">
        <v>1816</v>
      </c>
      <c r="C867" s="15">
        <f>+36302290320</f>
        <v>36302290320</v>
      </c>
      <c r="D867" s="1">
        <v>2.0</v>
      </c>
      <c r="E867" s="1">
        <v>3.0</v>
      </c>
      <c r="F867" s="1">
        <v>18600.0</v>
      </c>
    </row>
    <row r="868">
      <c r="A868" s="1" t="s">
        <v>1817</v>
      </c>
      <c r="B868" s="1" t="s">
        <v>1818</v>
      </c>
      <c r="C868" s="15">
        <f>+36702988013</f>
        <v>36702988013</v>
      </c>
      <c r="D868" s="1">
        <v>2.0</v>
      </c>
      <c r="E868" s="1">
        <v>3.0</v>
      </c>
      <c r="F868" s="1">
        <v>29500.0</v>
      </c>
    </row>
    <row r="869">
      <c r="A869" s="1" t="s">
        <v>1819</v>
      </c>
      <c r="B869" s="1" t="s">
        <v>1820</v>
      </c>
      <c r="C869" s="15">
        <f>+36703672253</f>
        <v>36703672253</v>
      </c>
      <c r="D869" s="1">
        <v>2.0</v>
      </c>
      <c r="E869" s="1">
        <v>3.0</v>
      </c>
      <c r="F869" s="1">
        <v>22200.0</v>
      </c>
    </row>
    <row r="870">
      <c r="A870" s="1" t="s">
        <v>1821</v>
      </c>
      <c r="B870" s="1" t="s">
        <v>1822</v>
      </c>
      <c r="C870" s="15">
        <f>+36309794081</f>
        <v>36309794081</v>
      </c>
      <c r="D870" s="1">
        <v>4.0</v>
      </c>
      <c r="E870" s="1">
        <v>3.0</v>
      </c>
      <c r="F870" s="1">
        <v>39000.0</v>
      </c>
    </row>
    <row r="871">
      <c r="A871" s="1" t="s">
        <v>1823</v>
      </c>
      <c r="B871" s="1" t="s">
        <v>1824</v>
      </c>
      <c r="C871" s="15">
        <f>+36302533003</f>
        <v>36302533003</v>
      </c>
      <c r="D871" s="1">
        <v>3.0</v>
      </c>
      <c r="E871" s="1">
        <v>3.0</v>
      </c>
      <c r="F871" s="1">
        <v>25000.0</v>
      </c>
    </row>
    <row r="872">
      <c r="A872" s="1" t="s">
        <v>1825</v>
      </c>
      <c r="B872" s="1" t="s">
        <v>1826</v>
      </c>
      <c r="C872" s="15">
        <f>+36307897421</f>
        <v>36307897421</v>
      </c>
      <c r="D872" s="1">
        <v>5.0</v>
      </c>
      <c r="E872" s="1">
        <v>3.0</v>
      </c>
      <c r="F872" s="1">
        <v>50000.0</v>
      </c>
    </row>
    <row r="873">
      <c r="A873" s="1" t="s">
        <v>1827</v>
      </c>
      <c r="B873" s="1" t="s">
        <v>1828</v>
      </c>
      <c r="C873" s="15">
        <f>+36203816921</f>
        <v>36203816921</v>
      </c>
      <c r="D873" s="1">
        <v>1.0</v>
      </c>
      <c r="E873" s="1">
        <v>3.0</v>
      </c>
      <c r="F873" s="1">
        <v>35100.0</v>
      </c>
    </row>
    <row r="874">
      <c r="A874" s="1" t="s">
        <v>1829</v>
      </c>
      <c r="B874" s="1" t="s">
        <v>1830</v>
      </c>
      <c r="C874" s="15">
        <f>+36209748337</f>
        <v>36209748337</v>
      </c>
      <c r="D874" s="1">
        <v>6.0</v>
      </c>
      <c r="E874" s="1">
        <v>3.0</v>
      </c>
      <c r="F874" s="1">
        <v>14000.0</v>
      </c>
    </row>
    <row r="875">
      <c r="A875" s="1" t="s">
        <v>1831</v>
      </c>
      <c r="B875" s="1" t="s">
        <v>1832</v>
      </c>
      <c r="C875" s="15">
        <f>+36703152895</f>
        <v>36703152895</v>
      </c>
      <c r="D875" s="1">
        <v>2.0</v>
      </c>
      <c r="E875" s="1">
        <v>3.0</v>
      </c>
      <c r="F875" s="1">
        <v>36500.0</v>
      </c>
    </row>
    <row r="876">
      <c r="A876" s="1" t="s">
        <v>1833</v>
      </c>
      <c r="B876" s="1" t="s">
        <v>1834</v>
      </c>
      <c r="C876" s="15">
        <f>+36304446065</f>
        <v>36304446065</v>
      </c>
      <c r="D876" s="1">
        <v>3.0</v>
      </c>
      <c r="E876" s="1">
        <v>3.0</v>
      </c>
      <c r="F876" s="1">
        <v>29400.0</v>
      </c>
    </row>
    <row r="877">
      <c r="A877" s="1" t="s">
        <v>1835</v>
      </c>
      <c r="B877" s="1" t="s">
        <v>1836</v>
      </c>
      <c r="C877" s="15">
        <f>+38162212414</f>
        <v>38162212414</v>
      </c>
      <c r="D877" s="1">
        <v>2.0</v>
      </c>
      <c r="E877" s="1">
        <v>3.0</v>
      </c>
      <c r="F877" s="1">
        <v>27800.0</v>
      </c>
    </row>
    <row r="878">
      <c r="A878" s="1" t="s">
        <v>1837</v>
      </c>
      <c r="B878" s="1" t="s">
        <v>1838</v>
      </c>
      <c r="C878" s="15">
        <f>+36705270920</f>
        <v>36705270920</v>
      </c>
      <c r="D878" s="1">
        <v>5.0</v>
      </c>
      <c r="E878" s="1">
        <v>3.0</v>
      </c>
      <c r="F878" s="1">
        <v>35400.0</v>
      </c>
    </row>
    <row r="879">
      <c r="A879" s="1" t="s">
        <v>1839</v>
      </c>
      <c r="B879" s="1" t="s">
        <v>1840</v>
      </c>
      <c r="C879" s="15">
        <f>+36204146122</f>
        <v>36204146122</v>
      </c>
      <c r="D879" s="1">
        <v>3.0</v>
      </c>
      <c r="E879" s="1">
        <v>3.0</v>
      </c>
      <c r="F879" s="1">
        <v>22600.0</v>
      </c>
    </row>
    <row r="880">
      <c r="A880" s="1" t="s">
        <v>1841</v>
      </c>
      <c r="B880" s="1" t="s">
        <v>1842</v>
      </c>
      <c r="C880" s="15">
        <f>+36306236040</f>
        <v>36306236040</v>
      </c>
      <c r="D880" s="1">
        <v>4.0</v>
      </c>
      <c r="E880" s="1">
        <v>3.0</v>
      </c>
      <c r="F880" s="1">
        <v>46200.0</v>
      </c>
    </row>
    <row r="881">
      <c r="A881" s="1" t="s">
        <v>1843</v>
      </c>
      <c r="B881" s="1" t="s">
        <v>1844</v>
      </c>
      <c r="C881" s="15">
        <f>+36309582020</f>
        <v>36309582020</v>
      </c>
      <c r="D881" s="1">
        <v>3.0</v>
      </c>
      <c r="E881" s="1">
        <v>3.0</v>
      </c>
      <c r="F881" s="1">
        <v>24200.0</v>
      </c>
    </row>
    <row r="882">
      <c r="A882" s="1" t="s">
        <v>1845</v>
      </c>
      <c r="B882" s="1" t="s">
        <v>1846</v>
      </c>
      <c r="C882" s="15">
        <f>+36709535439</f>
        <v>36709535439</v>
      </c>
      <c r="D882" s="1">
        <v>3.0</v>
      </c>
      <c r="E882" s="1">
        <v>3.0</v>
      </c>
      <c r="F882" s="1">
        <v>33400.0</v>
      </c>
    </row>
    <row r="883">
      <c r="A883" s="1" t="s">
        <v>1847</v>
      </c>
      <c r="B883" s="1" t="s">
        <v>1848</v>
      </c>
      <c r="C883" s="15">
        <f>+36309578230</f>
        <v>36309578230</v>
      </c>
      <c r="D883" s="1">
        <v>6.0</v>
      </c>
      <c r="E883" s="1">
        <v>3.0</v>
      </c>
      <c r="F883" s="1">
        <v>45900.0</v>
      </c>
    </row>
    <row r="884">
      <c r="A884" s="1" t="s">
        <v>1849</v>
      </c>
      <c r="B884" s="1" t="s">
        <v>1850</v>
      </c>
      <c r="C884" s="15">
        <f>+36306461756</f>
        <v>36306461756</v>
      </c>
      <c r="D884" s="1">
        <v>2.0</v>
      </c>
      <c r="E884" s="1">
        <v>3.0</v>
      </c>
      <c r="F884" s="1">
        <v>30800.0</v>
      </c>
    </row>
    <row r="885">
      <c r="A885" s="1" t="s">
        <v>1851</v>
      </c>
      <c r="B885" s="1" t="s">
        <v>1852</v>
      </c>
      <c r="C885" s="15">
        <f>+36309668065</f>
        <v>36309668065</v>
      </c>
      <c r="D885" s="1">
        <v>4.0</v>
      </c>
      <c r="E885" s="1">
        <v>3.0</v>
      </c>
      <c r="F885" s="1">
        <v>44800.0</v>
      </c>
    </row>
    <row r="886">
      <c r="A886" s="1" t="s">
        <v>1853</v>
      </c>
      <c r="B886" s="1" t="s">
        <v>1854</v>
      </c>
      <c r="C886" s="15">
        <f>+36302488477</f>
        <v>36302488477</v>
      </c>
      <c r="D886" s="1">
        <v>3.0</v>
      </c>
      <c r="E886" s="1">
        <v>3.0</v>
      </c>
      <c r="F886" s="1">
        <v>29600.0</v>
      </c>
    </row>
    <row r="887">
      <c r="A887" s="1" t="s">
        <v>1855</v>
      </c>
      <c r="B887" s="1" t="s">
        <v>1856</v>
      </c>
      <c r="C887" s="15">
        <f>+36301719714</f>
        <v>36301719714</v>
      </c>
      <c r="D887" s="1">
        <v>3.0</v>
      </c>
      <c r="E887" s="1">
        <v>3.0</v>
      </c>
      <c r="F887" s="1">
        <v>24200.0</v>
      </c>
    </row>
    <row r="888">
      <c r="A888" s="1" t="s">
        <v>1857</v>
      </c>
      <c r="B888" s="1" t="s">
        <v>1858</v>
      </c>
      <c r="C888" s="15">
        <f>+36307933820</f>
        <v>36307933820</v>
      </c>
      <c r="D888" s="1">
        <v>4.0</v>
      </c>
      <c r="E888" s="1">
        <v>3.0</v>
      </c>
      <c r="F888" s="1">
        <v>21400.0</v>
      </c>
    </row>
    <row r="889">
      <c r="A889" s="1" t="s">
        <v>1859</v>
      </c>
      <c r="B889" s="1" t="s">
        <v>1860</v>
      </c>
      <c r="C889" s="15">
        <f>+36309357819</f>
        <v>36309357819</v>
      </c>
      <c r="D889" s="1">
        <v>4.0</v>
      </c>
      <c r="E889" s="1">
        <v>3.0</v>
      </c>
      <c r="F889" s="1">
        <v>26000.0</v>
      </c>
    </row>
    <row r="890">
      <c r="A890" s="1" t="s">
        <v>1861</v>
      </c>
      <c r="B890" s="1" t="s">
        <v>1862</v>
      </c>
      <c r="C890" s="15">
        <f>+36302598141</f>
        <v>36302598141</v>
      </c>
      <c r="D890" s="1">
        <v>3.0</v>
      </c>
      <c r="E890" s="1">
        <v>3.0</v>
      </c>
      <c r="F890" s="1">
        <v>28900.0</v>
      </c>
    </row>
    <row r="891">
      <c r="A891" s="1" t="s">
        <v>1863</v>
      </c>
      <c r="B891" s="1" t="s">
        <v>1864</v>
      </c>
      <c r="C891" s="15">
        <f>+36705632462</f>
        <v>36705632462</v>
      </c>
      <c r="D891" s="1">
        <v>7.0</v>
      </c>
      <c r="E891" s="1">
        <v>3.0</v>
      </c>
      <c r="F891" s="1">
        <v>44000.0</v>
      </c>
    </row>
    <row r="892">
      <c r="A892" s="1" t="s">
        <v>1865</v>
      </c>
      <c r="B892" s="1" t="s">
        <v>1866</v>
      </c>
      <c r="C892" s="15">
        <f>+421918496136</f>
        <v>421918496136</v>
      </c>
      <c r="D892" s="1">
        <v>2.0</v>
      </c>
      <c r="E892" s="1">
        <v>3.0</v>
      </c>
      <c r="F892" s="1">
        <v>29900.0</v>
      </c>
    </row>
    <row r="893">
      <c r="A893" s="1" t="s">
        <v>1867</v>
      </c>
      <c r="B893" s="1" t="s">
        <v>1868</v>
      </c>
      <c r="C893" s="15">
        <f>+36301312210</f>
        <v>36301312210</v>
      </c>
      <c r="D893" s="1">
        <v>3.0</v>
      </c>
      <c r="E893" s="1">
        <v>3.0</v>
      </c>
      <c r="F893" s="1">
        <v>34300.0</v>
      </c>
    </row>
    <row r="894">
      <c r="A894" s="1" t="s">
        <v>1869</v>
      </c>
      <c r="B894" s="1" t="s">
        <v>1870</v>
      </c>
      <c r="C894" s="15">
        <f>+36709383349</f>
        <v>36709383349</v>
      </c>
      <c r="D894" s="1">
        <v>3.0</v>
      </c>
      <c r="E894" s="1">
        <v>3.0</v>
      </c>
      <c r="F894" s="1">
        <v>25100.0</v>
      </c>
    </row>
    <row r="895">
      <c r="A895" s="1" t="s">
        <v>1871</v>
      </c>
      <c r="B895" s="1" t="s">
        <v>1872</v>
      </c>
      <c r="C895" s="15">
        <f>+36306897388</f>
        <v>36306897388</v>
      </c>
      <c r="D895" s="1">
        <v>2.0</v>
      </c>
      <c r="E895" s="1">
        <v>3.0</v>
      </c>
      <c r="F895" s="1">
        <v>27900.0</v>
      </c>
    </row>
    <row r="896">
      <c r="A896" s="1" t="s">
        <v>1873</v>
      </c>
      <c r="B896" s="1" t="s">
        <v>1874</v>
      </c>
      <c r="C896" s="15">
        <f>+36303661110</f>
        <v>36303661110</v>
      </c>
      <c r="D896" s="1">
        <v>5.0</v>
      </c>
      <c r="E896" s="1">
        <v>3.0</v>
      </c>
      <c r="F896" s="1">
        <v>39600.0</v>
      </c>
    </row>
    <row r="897">
      <c r="A897" s="1" t="s">
        <v>1875</v>
      </c>
      <c r="B897" s="1" t="s">
        <v>1876</v>
      </c>
      <c r="C897" s="15">
        <f>+36306877366</f>
        <v>36306877366</v>
      </c>
      <c r="D897" s="1">
        <v>3.0</v>
      </c>
      <c r="E897" s="1">
        <v>3.0</v>
      </c>
      <c r="F897" s="1">
        <v>27600.0</v>
      </c>
    </row>
    <row r="898">
      <c r="A898" s="1" t="s">
        <v>1877</v>
      </c>
      <c r="B898" s="1" t="s">
        <v>1878</v>
      </c>
      <c r="C898" s="15">
        <f>+36204426998</f>
        <v>36204426998</v>
      </c>
      <c r="D898" s="1">
        <v>2.0</v>
      </c>
      <c r="E898" s="1">
        <v>3.0</v>
      </c>
      <c r="F898" s="1">
        <v>33900.0</v>
      </c>
    </row>
    <row r="899">
      <c r="A899" s="1" t="s">
        <v>1879</v>
      </c>
      <c r="B899" s="1" t="s">
        <v>1880</v>
      </c>
      <c r="C899" s="15">
        <f>+36205531415</f>
        <v>36205531415</v>
      </c>
      <c r="D899" s="1">
        <v>3.0</v>
      </c>
      <c r="E899" s="1">
        <v>3.0</v>
      </c>
      <c r="F899" s="1">
        <v>27100.0</v>
      </c>
    </row>
    <row r="900">
      <c r="A900" s="1" t="s">
        <v>1881</v>
      </c>
      <c r="B900" s="1" t="s">
        <v>1882</v>
      </c>
      <c r="C900" s="15">
        <f>+36309381585</f>
        <v>36309381585</v>
      </c>
      <c r="D900" s="1">
        <v>2.0</v>
      </c>
      <c r="E900" s="1">
        <v>3.0</v>
      </c>
      <c r="F900" s="1">
        <v>27600.0</v>
      </c>
    </row>
    <row r="901">
      <c r="A901" s="1" t="s">
        <v>1883</v>
      </c>
      <c r="B901" s="1" t="s">
        <v>1884</v>
      </c>
      <c r="C901" s="15">
        <f>+36204863848</f>
        <v>36204863848</v>
      </c>
      <c r="D901" s="1">
        <v>3.0</v>
      </c>
      <c r="E901" s="1">
        <v>3.0</v>
      </c>
      <c r="F901" s="1">
        <v>21900.0</v>
      </c>
    </row>
    <row r="902">
      <c r="A902" s="1" t="s">
        <v>1885</v>
      </c>
      <c r="B902" s="1" t="s">
        <v>1886</v>
      </c>
      <c r="C902" s="15">
        <f>+36203965753</f>
        <v>36203965753</v>
      </c>
      <c r="D902" s="1">
        <v>2.0</v>
      </c>
      <c r="E902" s="1">
        <v>3.0</v>
      </c>
      <c r="F902" s="1">
        <v>18800.0</v>
      </c>
    </row>
    <row r="903">
      <c r="A903" s="1" t="s">
        <v>1887</v>
      </c>
      <c r="B903" s="1" t="s">
        <v>1888</v>
      </c>
      <c r="C903" s="15">
        <f>+36205397801</f>
        <v>36205397801</v>
      </c>
      <c r="D903" s="1">
        <v>3.0</v>
      </c>
      <c r="E903" s="1">
        <v>3.0</v>
      </c>
      <c r="F903" s="1">
        <v>26500.0</v>
      </c>
    </row>
    <row r="904">
      <c r="A904" s="1" t="s">
        <v>1889</v>
      </c>
      <c r="B904" s="1" t="s">
        <v>1890</v>
      </c>
      <c r="C904" s="15">
        <f>+36703565687</f>
        <v>36703565687</v>
      </c>
      <c r="D904" s="1">
        <v>1.0</v>
      </c>
      <c r="E904" s="1">
        <v>3.0</v>
      </c>
      <c r="F904" s="1">
        <v>17400.0</v>
      </c>
    </row>
    <row r="905">
      <c r="A905" s="1" t="s">
        <v>1891</v>
      </c>
      <c r="B905" s="1" t="s">
        <v>1892</v>
      </c>
      <c r="C905" s="15">
        <f>+36306005330</f>
        <v>36306005330</v>
      </c>
      <c r="D905" s="1">
        <v>3.0</v>
      </c>
      <c r="E905" s="1">
        <v>3.0</v>
      </c>
      <c r="F905" s="1">
        <v>26400.0</v>
      </c>
    </row>
    <row r="906">
      <c r="A906" s="1" t="s">
        <v>1893</v>
      </c>
      <c r="B906" s="1" t="s">
        <v>1894</v>
      </c>
      <c r="C906" s="15">
        <f>+36703313856</f>
        <v>36703313856</v>
      </c>
      <c r="D906" s="1">
        <v>3.0</v>
      </c>
      <c r="E906" s="1">
        <v>3.0</v>
      </c>
      <c r="F906" s="1">
        <v>31200.0</v>
      </c>
    </row>
    <row r="907">
      <c r="A907" s="1" t="s">
        <v>1895</v>
      </c>
      <c r="B907" s="1" t="s">
        <v>1896</v>
      </c>
      <c r="C907" s="15">
        <f>+36302380485</f>
        <v>36302380485</v>
      </c>
      <c r="D907" s="1">
        <v>2.0</v>
      </c>
      <c r="E907" s="1">
        <v>3.0</v>
      </c>
      <c r="F907" s="1">
        <v>34000.0</v>
      </c>
    </row>
    <row r="908">
      <c r="A908" s="1" t="s">
        <v>1897</v>
      </c>
      <c r="B908" s="1" t="s">
        <v>1898</v>
      </c>
      <c r="C908" s="15">
        <f>+36703895945</f>
        <v>36703895945</v>
      </c>
      <c r="D908" s="1">
        <v>4.0</v>
      </c>
      <c r="E908" s="1">
        <v>3.0</v>
      </c>
      <c r="F908" s="1">
        <v>36600.0</v>
      </c>
    </row>
    <row r="909">
      <c r="A909" s="1" t="s">
        <v>1899</v>
      </c>
      <c r="B909" s="1" t="s">
        <v>1900</v>
      </c>
      <c r="C909" s="15">
        <f>+36203536122</f>
        <v>36203536122</v>
      </c>
      <c r="D909" s="1">
        <v>3.0</v>
      </c>
      <c r="E909" s="1">
        <v>3.0</v>
      </c>
      <c r="F909" s="1">
        <v>24600.0</v>
      </c>
    </row>
    <row r="910">
      <c r="A910" s="1" t="s">
        <v>1901</v>
      </c>
      <c r="B910" s="1" t="s">
        <v>1902</v>
      </c>
      <c r="C910" s="15">
        <f>+36703922943</f>
        <v>36703922943</v>
      </c>
      <c r="D910" s="1">
        <v>2.0</v>
      </c>
      <c r="E910" s="1">
        <v>3.0</v>
      </c>
      <c r="F910" s="1">
        <v>19600.0</v>
      </c>
    </row>
    <row r="911">
      <c r="A911" s="1" t="s">
        <v>1903</v>
      </c>
      <c r="B911" s="1" t="s">
        <v>1904</v>
      </c>
      <c r="C911" s="15">
        <f>+36303335669</f>
        <v>36303335669</v>
      </c>
      <c r="D911" s="1">
        <v>3.0</v>
      </c>
      <c r="E911" s="1">
        <v>3.0</v>
      </c>
      <c r="F911" s="1">
        <v>30600.0</v>
      </c>
    </row>
    <row r="912">
      <c r="A912" s="1" t="s">
        <v>1905</v>
      </c>
      <c r="B912" s="1" t="s">
        <v>1906</v>
      </c>
      <c r="C912" s="15">
        <f>+36704112047</f>
        <v>36704112047</v>
      </c>
      <c r="D912" s="1">
        <v>3.0</v>
      </c>
      <c r="E912" s="1">
        <v>3.0</v>
      </c>
      <c r="F912" s="1">
        <v>32500.0</v>
      </c>
    </row>
    <row r="913">
      <c r="A913" s="1" t="s">
        <v>1907</v>
      </c>
      <c r="B913" s="1" t="s">
        <v>1908</v>
      </c>
      <c r="C913" s="15">
        <f>+36309255677</f>
        <v>36309255677</v>
      </c>
      <c r="D913" s="1">
        <v>4.0</v>
      </c>
      <c r="E913" s="1">
        <v>3.0</v>
      </c>
      <c r="F913" s="1">
        <v>48200.0</v>
      </c>
    </row>
    <row r="914">
      <c r="A914" s="1" t="s">
        <v>1909</v>
      </c>
      <c r="B914" s="1" t="s">
        <v>1910</v>
      </c>
      <c r="C914" s="15">
        <f>+36207703301</f>
        <v>36207703301</v>
      </c>
      <c r="D914" s="1">
        <v>3.0</v>
      </c>
      <c r="E914" s="1">
        <v>3.0</v>
      </c>
      <c r="F914" s="1">
        <v>30400.0</v>
      </c>
    </row>
    <row r="915">
      <c r="A915" s="1" t="s">
        <v>1911</v>
      </c>
      <c r="B915" s="1" t="s">
        <v>1912</v>
      </c>
      <c r="C915" s="15">
        <f>+36302468899</f>
        <v>36302468899</v>
      </c>
      <c r="D915" s="1">
        <v>4.0</v>
      </c>
      <c r="E915" s="1">
        <v>3.0</v>
      </c>
      <c r="F915" s="1">
        <v>31400.0</v>
      </c>
    </row>
    <row r="916">
      <c r="A916" s="1" t="s">
        <v>1913</v>
      </c>
      <c r="B916" s="1" t="s">
        <v>1914</v>
      </c>
      <c r="C916" s="15">
        <f>+36301137949</f>
        <v>36301137949</v>
      </c>
      <c r="D916" s="1">
        <v>3.0</v>
      </c>
      <c r="E916" s="1">
        <v>3.0</v>
      </c>
      <c r="F916" s="1">
        <v>32100.0</v>
      </c>
    </row>
    <row r="917">
      <c r="A917" s="1" t="s">
        <v>1915</v>
      </c>
      <c r="B917" s="1" t="s">
        <v>1916</v>
      </c>
      <c r="C917" s="15">
        <f>+421940868831</f>
        <v>421940868831</v>
      </c>
      <c r="D917" s="1">
        <v>2.0</v>
      </c>
      <c r="E917" s="1">
        <v>3.0</v>
      </c>
      <c r="F917" s="1">
        <v>26400.0</v>
      </c>
    </row>
    <row r="918">
      <c r="A918" s="1" t="s">
        <v>1917</v>
      </c>
      <c r="B918" s="1" t="s">
        <v>1918</v>
      </c>
      <c r="C918" s="15">
        <f>+36304972344</f>
        <v>36304972344</v>
      </c>
      <c r="D918" s="1">
        <v>2.0</v>
      </c>
      <c r="E918" s="1">
        <v>3.0</v>
      </c>
      <c r="F918" s="1">
        <v>25800.0</v>
      </c>
    </row>
    <row r="919">
      <c r="A919" s="1" t="s">
        <v>1919</v>
      </c>
      <c r="B919" s="1" t="s">
        <v>1920</v>
      </c>
      <c r="C919" s="15">
        <f>+36202469119</f>
        <v>36202469119</v>
      </c>
      <c r="D919" s="1">
        <v>2.0</v>
      </c>
      <c r="E919" s="1">
        <v>3.0</v>
      </c>
      <c r="F919" s="1">
        <v>25200.0</v>
      </c>
    </row>
    <row r="920">
      <c r="A920" s="1" t="s">
        <v>1921</v>
      </c>
      <c r="B920" s="1" t="s">
        <v>1922</v>
      </c>
      <c r="C920" s="15">
        <f>+36204644149</f>
        <v>36204644149</v>
      </c>
      <c r="D920" s="1">
        <v>3.0</v>
      </c>
      <c r="E920" s="1">
        <v>3.0</v>
      </c>
      <c r="F920" s="1">
        <v>28400.0</v>
      </c>
    </row>
    <row r="921">
      <c r="A921" s="1" t="s">
        <v>1923</v>
      </c>
      <c r="B921" s="1" t="s">
        <v>1924</v>
      </c>
      <c r="C921" s="15">
        <f>+36204897149</f>
        <v>36204897149</v>
      </c>
      <c r="D921" s="1">
        <v>3.0</v>
      </c>
      <c r="E921" s="1">
        <v>3.0</v>
      </c>
      <c r="F921" s="1">
        <v>33100.0</v>
      </c>
    </row>
    <row r="922">
      <c r="A922" s="1" t="s">
        <v>1925</v>
      </c>
      <c r="B922" s="1" t="s">
        <v>1926</v>
      </c>
      <c r="C922" s="15">
        <f>+36307178824</f>
        <v>36307178824</v>
      </c>
      <c r="D922" s="1">
        <v>3.0</v>
      </c>
      <c r="E922" s="1">
        <v>3.0</v>
      </c>
      <c r="F922" s="1">
        <v>25600.0</v>
      </c>
    </row>
    <row r="923">
      <c r="A923" s="1" t="s">
        <v>1927</v>
      </c>
      <c r="B923" s="1" t="s">
        <v>1928</v>
      </c>
      <c r="C923" s="15">
        <f>+36702778989</f>
        <v>36702778989</v>
      </c>
      <c r="D923" s="1">
        <v>4.0</v>
      </c>
      <c r="E923" s="1">
        <v>3.0</v>
      </c>
      <c r="F923" s="1">
        <v>29600.0</v>
      </c>
    </row>
    <row r="924">
      <c r="A924" s="1" t="s">
        <v>1929</v>
      </c>
      <c r="B924" s="1" t="s">
        <v>1930</v>
      </c>
      <c r="C924" s="15">
        <f>+36308940817</f>
        <v>36308940817</v>
      </c>
      <c r="D924" s="1">
        <v>3.0</v>
      </c>
      <c r="E924" s="1">
        <v>3.0</v>
      </c>
      <c r="F924" s="1">
        <v>39400.0</v>
      </c>
    </row>
    <row r="925">
      <c r="A925" s="1" t="s">
        <v>1931</v>
      </c>
      <c r="B925" s="1" t="s">
        <v>1932</v>
      </c>
      <c r="C925" s="15">
        <f>+36703715373</f>
        <v>36703715373</v>
      </c>
      <c r="D925" s="1">
        <v>5.0</v>
      </c>
      <c r="E925" s="1">
        <v>3.0</v>
      </c>
      <c r="F925" s="1">
        <v>53200.0</v>
      </c>
    </row>
    <row r="926">
      <c r="A926" s="1" t="s">
        <v>1933</v>
      </c>
      <c r="B926" s="1" t="s">
        <v>1934</v>
      </c>
      <c r="C926" s="15">
        <f>+36305032075</f>
        <v>36305032075</v>
      </c>
      <c r="D926" s="1">
        <v>3.0</v>
      </c>
      <c r="E926" s="1">
        <v>3.0</v>
      </c>
      <c r="F926" s="1">
        <v>23200.0</v>
      </c>
    </row>
    <row r="927">
      <c r="A927" s="1" t="s">
        <v>1935</v>
      </c>
      <c r="B927" s="1" t="s">
        <v>1936</v>
      </c>
      <c r="C927" s="15">
        <f>+36709481030</f>
        <v>36709481030</v>
      </c>
      <c r="D927" s="1">
        <v>3.0</v>
      </c>
      <c r="E927" s="1">
        <v>3.0</v>
      </c>
      <c r="F927" s="1">
        <v>26000.0</v>
      </c>
    </row>
    <row r="928">
      <c r="A928" s="1" t="s">
        <v>1937</v>
      </c>
      <c r="B928" s="1" t="s">
        <v>1938</v>
      </c>
      <c r="C928" s="15">
        <f>+36705716490</f>
        <v>36705716490</v>
      </c>
      <c r="D928" s="1">
        <v>3.0</v>
      </c>
      <c r="E928" s="1">
        <v>3.0</v>
      </c>
      <c r="F928" s="1">
        <v>23600.0</v>
      </c>
    </row>
    <row r="929">
      <c r="A929" s="1" t="s">
        <v>1939</v>
      </c>
      <c r="B929" s="1" t="s">
        <v>1940</v>
      </c>
      <c r="C929" s="15">
        <f>+36309970306</f>
        <v>36309970306</v>
      </c>
      <c r="D929" s="1">
        <v>5.0</v>
      </c>
      <c r="E929" s="1">
        <v>3.0</v>
      </c>
      <c r="F929" s="1">
        <v>30100.0</v>
      </c>
    </row>
    <row r="930">
      <c r="A930" s="1" t="s">
        <v>1941</v>
      </c>
      <c r="B930" s="1" t="s">
        <v>1942</v>
      </c>
      <c r="C930" s="15">
        <f>+36203774545</f>
        <v>36203774545</v>
      </c>
      <c r="D930" s="1">
        <v>3.0</v>
      </c>
      <c r="E930" s="1">
        <v>3.0</v>
      </c>
      <c r="F930" s="1">
        <v>69300.0</v>
      </c>
    </row>
    <row r="931">
      <c r="A931" s="1" t="s">
        <v>1943</v>
      </c>
      <c r="B931" s="1" t="s">
        <v>1944</v>
      </c>
      <c r="C931" s="15">
        <f>+36703604614</f>
        <v>36703604614</v>
      </c>
      <c r="D931" s="1">
        <v>5.0</v>
      </c>
      <c r="E931" s="1">
        <v>3.0</v>
      </c>
      <c r="F931" s="1">
        <v>20300.0</v>
      </c>
    </row>
    <row r="932">
      <c r="A932" s="1" t="s">
        <v>1945</v>
      </c>
      <c r="B932" s="1" t="s">
        <v>1946</v>
      </c>
      <c r="C932" s="15">
        <f>+36704117022</f>
        <v>36704117022</v>
      </c>
      <c r="D932" s="1">
        <v>3.0</v>
      </c>
      <c r="E932" s="1">
        <v>3.0</v>
      </c>
      <c r="F932" s="1">
        <v>29100.0</v>
      </c>
    </row>
    <row r="933">
      <c r="A933" s="1" t="s">
        <v>1947</v>
      </c>
      <c r="B933" s="1" t="s">
        <v>1948</v>
      </c>
      <c r="C933" s="15">
        <f>+421908780570</f>
        <v>421908780570</v>
      </c>
      <c r="D933" s="1">
        <v>3.0</v>
      </c>
      <c r="E933" s="1">
        <v>3.0</v>
      </c>
      <c r="F933" s="1">
        <v>26800.0</v>
      </c>
    </row>
    <row r="934">
      <c r="A934" s="1" t="s">
        <v>1949</v>
      </c>
      <c r="B934" s="1" t="s">
        <v>1950</v>
      </c>
      <c r="C934" s="15">
        <f>+36707028800</f>
        <v>36707028800</v>
      </c>
      <c r="D934" s="1">
        <v>4.0</v>
      </c>
      <c r="E934" s="1">
        <v>3.0</v>
      </c>
      <c r="F934" s="1">
        <v>37800.0</v>
      </c>
    </row>
    <row r="935">
      <c r="A935" s="1" t="s">
        <v>1951</v>
      </c>
      <c r="B935" s="1" t="s">
        <v>1952</v>
      </c>
      <c r="C935" s="15">
        <f>+36306577517</f>
        <v>36306577517</v>
      </c>
      <c r="D935" s="1">
        <v>3.0</v>
      </c>
      <c r="E935" s="1">
        <v>3.0</v>
      </c>
      <c r="F935" s="1">
        <v>24900.0</v>
      </c>
    </row>
    <row r="936">
      <c r="A936" s="1" t="s">
        <v>1953</v>
      </c>
      <c r="B936" s="1" t="s">
        <v>1954</v>
      </c>
      <c r="C936" s="15">
        <f>+36308645884</f>
        <v>36308645884</v>
      </c>
      <c r="D936" s="1">
        <v>3.0</v>
      </c>
      <c r="E936" s="1">
        <v>3.0</v>
      </c>
      <c r="F936" s="1">
        <v>23900.0</v>
      </c>
    </row>
    <row r="937">
      <c r="A937" s="1" t="s">
        <v>1955</v>
      </c>
      <c r="B937" s="1" t="s">
        <v>1956</v>
      </c>
      <c r="C937" s="15">
        <f>+36209506619</f>
        <v>36209506619</v>
      </c>
      <c r="D937" s="1">
        <v>3.0</v>
      </c>
      <c r="E937" s="1">
        <v>3.0</v>
      </c>
      <c r="F937" s="1">
        <v>64600.0</v>
      </c>
    </row>
    <row r="938">
      <c r="A938" s="1" t="s">
        <v>1957</v>
      </c>
      <c r="B938" s="1" t="s">
        <v>1958</v>
      </c>
      <c r="C938" s="15">
        <f>+36204127134</f>
        <v>36204127134</v>
      </c>
      <c r="D938" s="1">
        <v>2.0</v>
      </c>
      <c r="E938" s="1">
        <v>3.0</v>
      </c>
      <c r="F938" s="1">
        <v>79200.0</v>
      </c>
    </row>
    <row r="939">
      <c r="A939" s="1" t="s">
        <v>1959</v>
      </c>
      <c r="B939" s="1" t="s">
        <v>1960</v>
      </c>
      <c r="C939" s="15">
        <f>+36304315459</f>
        <v>36304315459</v>
      </c>
      <c r="D939" s="1">
        <v>5.0</v>
      </c>
      <c r="E939" s="1">
        <v>3.0</v>
      </c>
      <c r="F939" s="1">
        <v>30400.0</v>
      </c>
    </row>
    <row r="940">
      <c r="A940" s="1" t="s">
        <v>1961</v>
      </c>
      <c r="B940" s="1" t="s">
        <v>1962</v>
      </c>
      <c r="C940" s="15">
        <f>+36305039128</f>
        <v>36305039128</v>
      </c>
      <c r="D940" s="1">
        <v>3.0</v>
      </c>
      <c r="E940" s="1">
        <v>3.0</v>
      </c>
      <c r="F940" s="1">
        <v>43000.0</v>
      </c>
    </row>
    <row r="941">
      <c r="A941" s="1" t="s">
        <v>1963</v>
      </c>
      <c r="B941" s="1" t="s">
        <v>1964</v>
      </c>
      <c r="C941" s="15">
        <f>+36204775774</f>
        <v>36204775774</v>
      </c>
      <c r="D941" s="1">
        <v>3.0</v>
      </c>
      <c r="E941" s="1">
        <v>3.0</v>
      </c>
      <c r="F941" s="1">
        <v>32100.0</v>
      </c>
    </row>
    <row r="942">
      <c r="A942" s="1" t="s">
        <v>1965</v>
      </c>
      <c r="B942" s="1" t="s">
        <v>1966</v>
      </c>
      <c r="C942" s="15">
        <f>+36309516905</f>
        <v>36309516905</v>
      </c>
      <c r="D942" s="1">
        <v>5.0</v>
      </c>
      <c r="E942" s="1">
        <v>3.0</v>
      </c>
      <c r="F942" s="1">
        <v>34300.0</v>
      </c>
    </row>
    <row r="943">
      <c r="A943" s="1" t="s">
        <v>1967</v>
      </c>
      <c r="B943" s="1" t="s">
        <v>1968</v>
      </c>
      <c r="C943" s="15">
        <f>+36304837604</f>
        <v>36304837604</v>
      </c>
      <c r="D943" s="1">
        <v>3.0</v>
      </c>
      <c r="E943" s="1">
        <v>3.0</v>
      </c>
      <c r="F943" s="1">
        <v>73300.0</v>
      </c>
    </row>
    <row r="944">
      <c r="A944" s="1" t="s">
        <v>1969</v>
      </c>
      <c r="B944" s="1" t="s">
        <v>1970</v>
      </c>
      <c r="C944" s="15">
        <f>+36706363046</f>
        <v>36706363046</v>
      </c>
      <c r="D944" s="1">
        <v>2.0</v>
      </c>
      <c r="E944" s="1">
        <v>3.0</v>
      </c>
      <c r="F944" s="1">
        <v>25200.0</v>
      </c>
    </row>
    <row r="945">
      <c r="A945" s="1" t="s">
        <v>1971</v>
      </c>
      <c r="B945" s="1" t="s">
        <v>1972</v>
      </c>
      <c r="C945" s="15">
        <f>+36706036075</f>
        <v>36706036075</v>
      </c>
      <c r="D945" s="1">
        <v>3.0</v>
      </c>
      <c r="E945" s="1">
        <v>3.0</v>
      </c>
      <c r="F945" s="1">
        <v>31200.0</v>
      </c>
    </row>
    <row r="946">
      <c r="A946" s="1" t="s">
        <v>1973</v>
      </c>
      <c r="B946" s="1" t="s">
        <v>1974</v>
      </c>
      <c r="C946" s="15">
        <f>+36704326816</f>
        <v>36704326816</v>
      </c>
      <c r="D946" s="1">
        <v>3.0</v>
      </c>
      <c r="E946" s="1">
        <v>3.0</v>
      </c>
      <c r="F946" s="1">
        <v>27800.0</v>
      </c>
    </row>
    <row r="947">
      <c r="A947" s="1" t="s">
        <v>1975</v>
      </c>
      <c r="B947" s="1" t="s">
        <v>1976</v>
      </c>
      <c r="C947" s="15">
        <f>+36308164509</f>
        <v>36308164509</v>
      </c>
      <c r="D947" s="1">
        <v>4.0</v>
      </c>
      <c r="E947" s="1">
        <v>3.0</v>
      </c>
      <c r="F947" s="1">
        <v>22300.0</v>
      </c>
    </row>
    <row r="948">
      <c r="A948" s="1" t="s">
        <v>1977</v>
      </c>
      <c r="B948" s="1" t="s">
        <v>1978</v>
      </c>
      <c r="C948" s="15">
        <f>+36202655673</f>
        <v>36202655673</v>
      </c>
      <c r="D948" s="1">
        <v>3.0</v>
      </c>
      <c r="E948" s="1">
        <v>3.0</v>
      </c>
      <c r="F948" s="1">
        <v>16400.0</v>
      </c>
    </row>
    <row r="949">
      <c r="A949" s="1" t="s">
        <v>1979</v>
      </c>
      <c r="B949" s="1" t="s">
        <v>1980</v>
      </c>
      <c r="C949" s="15">
        <f>+36305278722</f>
        <v>36305278722</v>
      </c>
      <c r="D949" s="1">
        <v>2.0</v>
      </c>
      <c r="E949" s="1">
        <v>3.0</v>
      </c>
      <c r="F949" s="1">
        <v>32100.0</v>
      </c>
    </row>
    <row r="950">
      <c r="A950" s="1" t="s">
        <v>1981</v>
      </c>
      <c r="B950" s="1" t="s">
        <v>1982</v>
      </c>
      <c r="C950" s="15">
        <f>+36709407237</f>
        <v>36709407237</v>
      </c>
      <c r="D950" s="1">
        <v>3.0</v>
      </c>
      <c r="E950" s="1">
        <v>3.0</v>
      </c>
      <c r="F950" s="1">
        <v>33000.0</v>
      </c>
    </row>
    <row r="951">
      <c r="A951" s="1" t="s">
        <v>1983</v>
      </c>
      <c r="B951" s="1" t="s">
        <v>1984</v>
      </c>
      <c r="C951" s="15">
        <f>+36704180860</f>
        <v>36704180860</v>
      </c>
      <c r="D951" s="1">
        <v>3.0</v>
      </c>
      <c r="E951" s="1">
        <v>3.0</v>
      </c>
      <c r="F951" s="1">
        <v>24500.0</v>
      </c>
    </row>
    <row r="952">
      <c r="A952" s="1" t="s">
        <v>1985</v>
      </c>
      <c r="B952" s="1" t="s">
        <v>1986</v>
      </c>
      <c r="C952" s="15">
        <f>+36309731323</f>
        <v>36309731323</v>
      </c>
      <c r="D952" s="1">
        <v>2.0</v>
      </c>
      <c r="E952" s="1">
        <v>3.0</v>
      </c>
      <c r="F952" s="1">
        <v>24000.0</v>
      </c>
    </row>
    <row r="953">
      <c r="A953" s="1" t="s">
        <v>1987</v>
      </c>
      <c r="B953" s="1" t="s">
        <v>1988</v>
      </c>
      <c r="C953" s="15">
        <f>+36709672714</f>
        <v>36709672714</v>
      </c>
      <c r="D953" s="1">
        <v>2.0</v>
      </c>
      <c r="E953" s="1">
        <v>3.0</v>
      </c>
      <c r="F953" s="1">
        <v>32100.0</v>
      </c>
    </row>
    <row r="954">
      <c r="A954" s="1" t="s">
        <v>1989</v>
      </c>
      <c r="B954" s="1" t="s">
        <v>1990</v>
      </c>
      <c r="C954" s="15">
        <f>+421908145379</f>
        <v>421908145379</v>
      </c>
      <c r="D954" s="1">
        <v>2.0</v>
      </c>
      <c r="E954" s="1">
        <v>3.0</v>
      </c>
      <c r="F954" s="1">
        <v>27600.0</v>
      </c>
    </row>
    <row r="955">
      <c r="A955" s="1" t="s">
        <v>1991</v>
      </c>
      <c r="B955" s="1" t="s">
        <v>1992</v>
      </c>
      <c r="C955" s="15">
        <f>+36307119664</f>
        <v>36307119664</v>
      </c>
      <c r="D955" s="1">
        <v>3.0</v>
      </c>
      <c r="E955" s="1">
        <v>3.0</v>
      </c>
      <c r="F955" s="1">
        <v>26200.0</v>
      </c>
    </row>
    <row r="956">
      <c r="A956" s="1" t="s">
        <v>1993</v>
      </c>
      <c r="B956" s="1" t="s">
        <v>1994</v>
      </c>
      <c r="C956" s="15">
        <f>+36706119394</f>
        <v>36706119394</v>
      </c>
      <c r="D956" s="1">
        <v>3.0</v>
      </c>
      <c r="E956" s="1">
        <v>3.0</v>
      </c>
      <c r="F956" s="1">
        <v>26100.0</v>
      </c>
    </row>
    <row r="957">
      <c r="A957" s="1" t="s">
        <v>1995</v>
      </c>
      <c r="B957" s="1" t="s">
        <v>1996</v>
      </c>
      <c r="C957" s="15">
        <f>+40745839472</f>
        <v>40745839472</v>
      </c>
      <c r="D957" s="1">
        <v>4.0</v>
      </c>
      <c r="E957" s="1">
        <v>3.0</v>
      </c>
      <c r="F957" s="1">
        <v>39700.0</v>
      </c>
    </row>
    <row r="958">
      <c r="A958" s="1" t="s">
        <v>1997</v>
      </c>
      <c r="B958" s="1" t="s">
        <v>1998</v>
      </c>
      <c r="C958" s="15">
        <f>+421948436899</f>
        <v>421948436899</v>
      </c>
      <c r="D958" s="1">
        <v>3.0</v>
      </c>
      <c r="E958" s="1">
        <v>3.0</v>
      </c>
      <c r="F958" s="1">
        <v>37100.0</v>
      </c>
    </row>
    <row r="959">
      <c r="A959" s="1" t="s">
        <v>1999</v>
      </c>
      <c r="B959" s="1" t="s">
        <v>2000</v>
      </c>
      <c r="C959" s="15">
        <f>+36702578385</f>
        <v>36702578385</v>
      </c>
      <c r="D959" s="1">
        <v>3.0</v>
      </c>
      <c r="E959" s="1">
        <v>3.0</v>
      </c>
      <c r="F959" s="1">
        <v>29200.0</v>
      </c>
    </row>
    <row r="960">
      <c r="A960" s="1" t="s">
        <v>2001</v>
      </c>
      <c r="B960" s="1" t="s">
        <v>2002</v>
      </c>
      <c r="C960" s="15">
        <f>+36309509539</f>
        <v>36309509539</v>
      </c>
      <c r="D960" s="1">
        <v>4.0</v>
      </c>
      <c r="E960" s="1">
        <v>3.0</v>
      </c>
      <c r="F960" s="1">
        <v>28200.0</v>
      </c>
    </row>
    <row r="961">
      <c r="A961" s="1" t="s">
        <v>2003</v>
      </c>
      <c r="B961" s="1" t="s">
        <v>2004</v>
      </c>
      <c r="C961" s="15">
        <f>+36305231687</f>
        <v>36305231687</v>
      </c>
      <c r="D961" s="1">
        <v>3.0</v>
      </c>
      <c r="E961" s="1">
        <v>3.0</v>
      </c>
      <c r="F961" s="1">
        <v>27700.0</v>
      </c>
    </row>
    <row r="962">
      <c r="A962" s="1" t="s">
        <v>2005</v>
      </c>
      <c r="B962" s="1" t="s">
        <v>2006</v>
      </c>
      <c r="C962" s="15">
        <f>+36706032502</f>
        <v>36706032502</v>
      </c>
      <c r="D962" s="1">
        <v>3.0</v>
      </c>
      <c r="E962" s="1">
        <v>3.0</v>
      </c>
      <c r="F962" s="1">
        <v>31100.0</v>
      </c>
    </row>
    <row r="963">
      <c r="A963" s="1" t="s">
        <v>2007</v>
      </c>
      <c r="B963" s="1" t="s">
        <v>2008</v>
      </c>
      <c r="C963" s="15">
        <f>+36203484192</f>
        <v>36203484192</v>
      </c>
      <c r="D963" s="1">
        <v>4.0</v>
      </c>
      <c r="E963" s="1">
        <v>3.0</v>
      </c>
      <c r="F963" s="1">
        <v>45400.0</v>
      </c>
    </row>
    <row r="964">
      <c r="A964" s="1" t="s">
        <v>2009</v>
      </c>
      <c r="B964" s="1" t="s">
        <v>2010</v>
      </c>
      <c r="C964" s="15">
        <f>+36304268216</f>
        <v>36304268216</v>
      </c>
      <c r="D964" s="1">
        <v>5.0</v>
      </c>
      <c r="E964" s="1">
        <v>3.0</v>
      </c>
      <c r="F964" s="1">
        <v>31200.0</v>
      </c>
    </row>
    <row r="965">
      <c r="A965" s="1" t="s">
        <v>2011</v>
      </c>
      <c r="B965" s="1" t="s">
        <v>2012</v>
      </c>
      <c r="C965" s="15">
        <f>+36209977275</f>
        <v>36209977275</v>
      </c>
      <c r="D965" s="1">
        <v>2.0</v>
      </c>
      <c r="E965" s="1">
        <v>3.0</v>
      </c>
      <c r="F965" s="1">
        <v>22400.0</v>
      </c>
    </row>
    <row r="966">
      <c r="A966" s="1" t="s">
        <v>2013</v>
      </c>
      <c r="B966" s="1" t="s">
        <v>2014</v>
      </c>
      <c r="C966" s="15">
        <f>+36703348678</f>
        <v>36703348678</v>
      </c>
      <c r="D966" s="1">
        <v>3.0</v>
      </c>
      <c r="E966" s="1">
        <v>3.0</v>
      </c>
      <c r="F966" s="1">
        <v>74800.0</v>
      </c>
    </row>
    <row r="967">
      <c r="A967" s="1" t="s">
        <v>2015</v>
      </c>
      <c r="B967" s="1" t="s">
        <v>2016</v>
      </c>
      <c r="C967" s="15">
        <f>+36705043388</f>
        <v>36705043388</v>
      </c>
      <c r="D967" s="1">
        <v>3.0</v>
      </c>
      <c r="E967" s="1">
        <v>3.0</v>
      </c>
      <c r="F967" s="1">
        <v>30600.0</v>
      </c>
    </row>
    <row r="968">
      <c r="A968" s="1" t="s">
        <v>2017</v>
      </c>
      <c r="B968" s="1" t="s">
        <v>2018</v>
      </c>
      <c r="C968" s="15">
        <f>+36204705133</f>
        <v>36204705133</v>
      </c>
      <c r="D968" s="1">
        <v>3.0</v>
      </c>
      <c r="E968" s="1">
        <v>3.0</v>
      </c>
      <c r="F968" s="1">
        <v>34600.0</v>
      </c>
    </row>
    <row r="969">
      <c r="A969" s="1" t="s">
        <v>2019</v>
      </c>
      <c r="B969" s="1" t="s">
        <v>2020</v>
      </c>
      <c r="C969" s="15">
        <f>+36704182116</f>
        <v>36704182116</v>
      </c>
      <c r="D969" s="1">
        <v>4.0</v>
      </c>
      <c r="E969" s="1">
        <v>3.0</v>
      </c>
      <c r="F969" s="1">
        <v>36000.0</v>
      </c>
    </row>
    <row r="970">
      <c r="A970" s="1" t="s">
        <v>2021</v>
      </c>
      <c r="B970" s="1" t="s">
        <v>2022</v>
      </c>
      <c r="C970" s="15">
        <f>+36202354071</f>
        <v>36202354071</v>
      </c>
      <c r="D970" s="1">
        <v>3.0</v>
      </c>
      <c r="E970" s="1">
        <v>3.0</v>
      </c>
      <c r="F970" s="1">
        <v>31300.0</v>
      </c>
    </row>
    <row r="971">
      <c r="A971" s="1" t="s">
        <v>2023</v>
      </c>
      <c r="B971" s="1" t="s">
        <v>2024</v>
      </c>
      <c r="C971" s="15">
        <f>+36203449345</f>
        <v>36203449345</v>
      </c>
      <c r="D971" s="1">
        <v>3.0</v>
      </c>
      <c r="E971" s="1">
        <v>3.0</v>
      </c>
      <c r="F971" s="1">
        <v>31700.0</v>
      </c>
    </row>
    <row r="972">
      <c r="A972" s="1" t="s">
        <v>2025</v>
      </c>
      <c r="B972" s="1" t="s">
        <v>2026</v>
      </c>
      <c r="C972" s="15">
        <f>+36703608701</f>
        <v>36703608701</v>
      </c>
      <c r="D972" s="1">
        <v>4.0</v>
      </c>
      <c r="E972" s="1">
        <v>3.0</v>
      </c>
      <c r="F972" s="1">
        <v>60400.0</v>
      </c>
    </row>
    <row r="973">
      <c r="A973" s="1" t="s">
        <v>2027</v>
      </c>
      <c r="B973" s="1" t="s">
        <v>2028</v>
      </c>
      <c r="C973" s="15">
        <f>+36204263506</f>
        <v>36204263506</v>
      </c>
      <c r="D973" s="1">
        <v>3.0</v>
      </c>
      <c r="E973" s="1">
        <v>3.0</v>
      </c>
      <c r="F973" s="1">
        <v>29100.0</v>
      </c>
    </row>
    <row r="974">
      <c r="A974" s="1" t="s">
        <v>2029</v>
      </c>
      <c r="B974" s="1" t="s">
        <v>2030</v>
      </c>
      <c r="C974" s="15">
        <f>+36308665276</f>
        <v>36308665276</v>
      </c>
      <c r="D974" s="1">
        <v>3.0</v>
      </c>
      <c r="E974" s="1">
        <v>3.0</v>
      </c>
      <c r="F974" s="1">
        <v>30000.0</v>
      </c>
    </row>
    <row r="975">
      <c r="A975" s="1" t="s">
        <v>2031</v>
      </c>
      <c r="B975" s="1" t="s">
        <v>2032</v>
      </c>
      <c r="C975" s="15">
        <f>+421905069522</f>
        <v>421905069522</v>
      </c>
      <c r="D975" s="1">
        <v>3.0</v>
      </c>
      <c r="E975" s="1">
        <v>3.0</v>
      </c>
      <c r="F975" s="1">
        <v>25000.0</v>
      </c>
    </row>
    <row r="976">
      <c r="A976" s="1" t="s">
        <v>2033</v>
      </c>
      <c r="B976" s="1" t="s">
        <v>2034</v>
      </c>
      <c r="C976" s="15">
        <f>+36308776996</f>
        <v>36308776996</v>
      </c>
      <c r="D976" s="1">
        <v>1.0</v>
      </c>
      <c r="E976" s="1">
        <v>3.0</v>
      </c>
      <c r="F976" s="1">
        <v>17100.0</v>
      </c>
    </row>
    <row r="977">
      <c r="A977" s="1" t="s">
        <v>2035</v>
      </c>
      <c r="B977" s="1" t="s">
        <v>2036</v>
      </c>
      <c r="C977" s="15">
        <f>+36203364099</f>
        <v>36203364099</v>
      </c>
      <c r="D977" s="1">
        <v>3.0</v>
      </c>
      <c r="E977" s="1">
        <v>3.0</v>
      </c>
      <c r="F977" s="1">
        <v>29900.0</v>
      </c>
    </row>
    <row r="978">
      <c r="A978" s="1" t="s">
        <v>2037</v>
      </c>
      <c r="B978" s="1" t="s">
        <v>2038</v>
      </c>
      <c r="C978" s="15">
        <f>+36703714278</f>
        <v>36703714278</v>
      </c>
      <c r="D978" s="1">
        <v>4.0</v>
      </c>
      <c r="E978" s="1">
        <v>3.0</v>
      </c>
      <c r="F978" s="1">
        <v>30000.0</v>
      </c>
    </row>
    <row r="979">
      <c r="A979" s="1" t="s">
        <v>2039</v>
      </c>
      <c r="B979" s="1" t="s">
        <v>2040</v>
      </c>
      <c r="C979" s="15">
        <f>+36205606806</f>
        <v>36205606806</v>
      </c>
      <c r="D979" s="1">
        <v>3.0</v>
      </c>
      <c r="E979" s="1">
        <v>3.0</v>
      </c>
      <c r="F979" s="1">
        <v>25400.0</v>
      </c>
    </row>
    <row r="980">
      <c r="A980" s="1" t="s">
        <v>2041</v>
      </c>
      <c r="B980" s="1" t="s">
        <v>2042</v>
      </c>
      <c r="C980" s="15">
        <f>+36307433212</f>
        <v>36307433212</v>
      </c>
      <c r="D980" s="1">
        <v>3.0</v>
      </c>
      <c r="E980" s="1">
        <v>3.0</v>
      </c>
      <c r="F980" s="1">
        <v>30300.0</v>
      </c>
    </row>
    <row r="981">
      <c r="A981" s="1" t="s">
        <v>2043</v>
      </c>
      <c r="B981" s="1" t="s">
        <v>2044</v>
      </c>
      <c r="C981" s="15">
        <f>+36306845383</f>
        <v>36306845383</v>
      </c>
      <c r="D981" s="1">
        <v>2.0</v>
      </c>
      <c r="E981" s="1">
        <v>3.0</v>
      </c>
      <c r="F981" s="1">
        <v>35300.0</v>
      </c>
    </row>
    <row r="982">
      <c r="A982" s="1" t="s">
        <v>2045</v>
      </c>
      <c r="B982" s="1" t="s">
        <v>2046</v>
      </c>
      <c r="C982" s="15">
        <f>+36203620138</f>
        <v>36203620138</v>
      </c>
      <c r="D982" s="1">
        <v>5.0</v>
      </c>
      <c r="E982" s="1">
        <v>3.0</v>
      </c>
      <c r="F982" s="1">
        <v>83400.0</v>
      </c>
    </row>
    <row r="983">
      <c r="A983" s="1" t="s">
        <v>2047</v>
      </c>
      <c r="B983" s="1" t="s">
        <v>2048</v>
      </c>
      <c r="C983" s="15">
        <f>+36703137465</f>
        <v>36703137465</v>
      </c>
      <c r="D983" s="1">
        <v>1.0</v>
      </c>
      <c r="E983" s="1">
        <v>3.0</v>
      </c>
      <c r="F983" s="1">
        <v>29400.0</v>
      </c>
    </row>
    <row r="984">
      <c r="A984" s="1" t="s">
        <v>2049</v>
      </c>
      <c r="B984" s="1" t="s">
        <v>2050</v>
      </c>
      <c r="C984" s="15">
        <f>+36202610313</f>
        <v>36202610313</v>
      </c>
      <c r="D984" s="1">
        <v>3.0</v>
      </c>
      <c r="E984" s="1">
        <v>3.0</v>
      </c>
      <c r="F984" s="1">
        <v>31400.0</v>
      </c>
    </row>
    <row r="985">
      <c r="A985" s="1" t="s">
        <v>2051</v>
      </c>
      <c r="B985" s="1" t="s">
        <v>2052</v>
      </c>
      <c r="C985" s="15">
        <f>+36304924981</f>
        <v>36304924981</v>
      </c>
      <c r="D985" s="1">
        <v>3.0</v>
      </c>
      <c r="E985" s="1">
        <v>3.0</v>
      </c>
      <c r="F985" s="1">
        <v>30700.0</v>
      </c>
    </row>
    <row r="986">
      <c r="A986" s="1" t="s">
        <v>2053</v>
      </c>
      <c r="B986" s="1" t="s">
        <v>2054</v>
      </c>
      <c r="C986" s="15">
        <f>+36303912516</f>
        <v>36303912516</v>
      </c>
      <c r="D986" s="1">
        <v>2.0</v>
      </c>
      <c r="E986" s="1">
        <v>3.0</v>
      </c>
      <c r="F986" s="1">
        <v>23200.0</v>
      </c>
    </row>
    <row r="987">
      <c r="A987" s="1" t="s">
        <v>2055</v>
      </c>
      <c r="B987" s="1" t="s">
        <v>2056</v>
      </c>
      <c r="C987" s="15">
        <f>+36306620639</f>
        <v>36306620639</v>
      </c>
      <c r="D987" s="1">
        <v>4.0</v>
      </c>
      <c r="E987" s="1">
        <v>3.0</v>
      </c>
      <c r="F987" s="1">
        <v>25100.0</v>
      </c>
    </row>
    <row r="988">
      <c r="A988" s="1" t="s">
        <v>2057</v>
      </c>
      <c r="B988" s="1" t="s">
        <v>2058</v>
      </c>
      <c r="C988" s="15">
        <f>+36309596543</f>
        <v>36309596543</v>
      </c>
      <c r="D988" s="1">
        <v>3.0</v>
      </c>
      <c r="E988" s="1">
        <v>3.0</v>
      </c>
      <c r="F988" s="1">
        <v>22700.0</v>
      </c>
    </row>
    <row r="989">
      <c r="A989" s="1" t="s">
        <v>2059</v>
      </c>
      <c r="B989" s="1" t="s">
        <v>2060</v>
      </c>
      <c r="C989" s="15">
        <f>+36305137496</f>
        <v>36305137496</v>
      </c>
      <c r="D989" s="1">
        <v>3.0</v>
      </c>
      <c r="E989" s="1">
        <v>3.0</v>
      </c>
      <c r="F989" s="1">
        <v>29400.0</v>
      </c>
    </row>
    <row r="990">
      <c r="A990" s="1" t="s">
        <v>2061</v>
      </c>
      <c r="B990" s="1" t="s">
        <v>2062</v>
      </c>
      <c r="C990" s="15">
        <f>+36205186963</f>
        <v>36205186963</v>
      </c>
      <c r="D990" s="1">
        <v>4.0</v>
      </c>
      <c r="E990" s="1">
        <v>3.0</v>
      </c>
      <c r="F990" s="1">
        <v>41000.0</v>
      </c>
    </row>
    <row r="991">
      <c r="A991" s="1" t="s">
        <v>2063</v>
      </c>
      <c r="B991" s="1" t="s">
        <v>2064</v>
      </c>
      <c r="C991" s="15">
        <f>+36303135782</f>
        <v>36303135782</v>
      </c>
      <c r="D991" s="1">
        <v>4.0</v>
      </c>
      <c r="E991" s="1">
        <v>3.0</v>
      </c>
      <c r="F991" s="1">
        <v>39200.0</v>
      </c>
    </row>
    <row r="992">
      <c r="A992" s="1" t="s">
        <v>2065</v>
      </c>
      <c r="B992" s="1" t="s">
        <v>2066</v>
      </c>
      <c r="C992" s="15">
        <f>+36703306818</f>
        <v>36703306818</v>
      </c>
      <c r="D992" s="1">
        <v>3.0</v>
      </c>
      <c r="E992" s="1">
        <v>3.0</v>
      </c>
      <c r="F992" s="1">
        <v>60400.0</v>
      </c>
    </row>
    <row r="993">
      <c r="A993" s="1" t="s">
        <v>2067</v>
      </c>
      <c r="B993" s="1" t="s">
        <v>2068</v>
      </c>
      <c r="C993" s="15">
        <f>+36703231982</f>
        <v>36703231982</v>
      </c>
      <c r="D993" s="1">
        <v>2.0</v>
      </c>
      <c r="E993" s="1">
        <v>3.0</v>
      </c>
      <c r="F993" s="1">
        <v>9000.0</v>
      </c>
    </row>
    <row r="994">
      <c r="A994" s="1" t="s">
        <v>2069</v>
      </c>
      <c r="B994" s="1" t="s">
        <v>2070</v>
      </c>
      <c r="C994" s="15">
        <f>+36706397662</f>
        <v>36706397662</v>
      </c>
      <c r="D994" s="1">
        <v>2.0</v>
      </c>
      <c r="E994" s="1">
        <v>3.0</v>
      </c>
      <c r="F994" s="1">
        <v>31000.0</v>
      </c>
    </row>
    <row r="995">
      <c r="A995" s="1" t="s">
        <v>2071</v>
      </c>
      <c r="B995" s="1" t="s">
        <v>2072</v>
      </c>
      <c r="C995" s="15">
        <f>+36205687452</f>
        <v>36205687452</v>
      </c>
      <c r="D995" s="1">
        <v>3.0</v>
      </c>
      <c r="E995" s="1">
        <v>3.0</v>
      </c>
      <c r="F995" s="1">
        <v>27600.0</v>
      </c>
    </row>
    <row r="996">
      <c r="A996" s="1" t="s">
        <v>2073</v>
      </c>
      <c r="B996" s="1" t="s">
        <v>2074</v>
      </c>
      <c r="C996" s="15">
        <f>+36302684271</f>
        <v>36302684271</v>
      </c>
      <c r="D996" s="1">
        <v>3.0</v>
      </c>
      <c r="E996" s="1">
        <v>3.0</v>
      </c>
      <c r="F996" s="1">
        <v>32400.0</v>
      </c>
    </row>
    <row r="997">
      <c r="A997" s="1" t="s">
        <v>2075</v>
      </c>
      <c r="B997" s="1" t="s">
        <v>2076</v>
      </c>
      <c r="C997" s="15">
        <f>+421905953553</f>
        <v>421905953553</v>
      </c>
      <c r="D997" s="1">
        <v>3.0</v>
      </c>
      <c r="E997" s="1">
        <v>3.0</v>
      </c>
      <c r="F997" s="1">
        <v>29000.0</v>
      </c>
    </row>
    <row r="998">
      <c r="A998" s="1" t="s">
        <v>2077</v>
      </c>
      <c r="B998" s="1" t="s">
        <v>2078</v>
      </c>
      <c r="C998" s="15">
        <f>+36705933676</f>
        <v>36705933676</v>
      </c>
      <c r="D998" s="1">
        <v>4.0</v>
      </c>
      <c r="E998" s="1">
        <v>3.0</v>
      </c>
      <c r="F998" s="1">
        <v>41700.0</v>
      </c>
    </row>
    <row r="999">
      <c r="A999" s="1" t="s">
        <v>2079</v>
      </c>
      <c r="B999" s="1" t="s">
        <v>2080</v>
      </c>
      <c r="C999" s="15">
        <f>+36708858202</f>
        <v>36708858202</v>
      </c>
      <c r="D999" s="1">
        <v>3.0</v>
      </c>
      <c r="E999" s="1">
        <v>3.0</v>
      </c>
      <c r="F999" s="1">
        <v>26700.0</v>
      </c>
    </row>
    <row r="1000">
      <c r="A1000" s="1" t="s">
        <v>2081</v>
      </c>
      <c r="B1000" s="1" t="s">
        <v>2082</v>
      </c>
      <c r="C1000" s="15">
        <f>+36706457270</f>
        <v>36706457270</v>
      </c>
      <c r="D1000" s="1">
        <v>3.0</v>
      </c>
      <c r="E1000" s="1">
        <v>3.0</v>
      </c>
      <c r="F1000" s="1">
        <v>25700.0</v>
      </c>
    </row>
    <row r="1001">
      <c r="A1001" s="1" t="s">
        <v>2083</v>
      </c>
      <c r="B1001" s="1" t="s">
        <v>2084</v>
      </c>
      <c r="C1001" s="15">
        <f>+36706064717</f>
        <v>36706064717</v>
      </c>
      <c r="D1001" s="1">
        <v>4.0</v>
      </c>
      <c r="E1001" s="1">
        <v>3.0</v>
      </c>
      <c r="F1001" s="1">
        <v>29700.0</v>
      </c>
    </row>
    <row r="1002">
      <c r="A1002" s="1" t="s">
        <v>2085</v>
      </c>
      <c r="B1002" s="1" t="s">
        <v>2086</v>
      </c>
      <c r="C1002" s="15">
        <f>+36704140600</f>
        <v>36704140600</v>
      </c>
      <c r="D1002" s="1">
        <v>5.0</v>
      </c>
      <c r="E1002" s="1">
        <v>3.0</v>
      </c>
      <c r="F1002" s="1">
        <v>27800.0</v>
      </c>
    </row>
    <row r="1003">
      <c r="A1003" s="1" t="s">
        <v>2087</v>
      </c>
      <c r="B1003" s="1" t="s">
        <v>2088</v>
      </c>
      <c r="C1003" s="15">
        <f>+36706336026</f>
        <v>36706336026</v>
      </c>
      <c r="D1003" s="1">
        <v>2.0</v>
      </c>
      <c r="E1003" s="1">
        <v>3.0</v>
      </c>
      <c r="F1003" s="1">
        <v>26900.0</v>
      </c>
    </row>
    <row r="1004">
      <c r="A1004" s="1" t="s">
        <v>2089</v>
      </c>
      <c r="B1004" s="1" t="s">
        <v>2090</v>
      </c>
      <c r="C1004" s="15">
        <f>+36709409490</f>
        <v>36709409490</v>
      </c>
      <c r="D1004" s="1">
        <v>1.0</v>
      </c>
      <c r="E1004" s="1">
        <v>3.0</v>
      </c>
      <c r="F1004" s="1">
        <v>39000.0</v>
      </c>
    </row>
    <row r="1005">
      <c r="A1005" s="1" t="s">
        <v>2091</v>
      </c>
      <c r="B1005" s="1" t="s">
        <v>2092</v>
      </c>
      <c r="C1005" s="15">
        <f>+36209967756</f>
        <v>36209967756</v>
      </c>
      <c r="D1005" s="1">
        <v>3.0</v>
      </c>
      <c r="E1005" s="1">
        <v>3.0</v>
      </c>
      <c r="F1005" s="1">
        <v>34300.0</v>
      </c>
    </row>
    <row r="1006">
      <c r="A1006" s="1" t="s">
        <v>2093</v>
      </c>
      <c r="B1006" s="1" t="s">
        <v>2094</v>
      </c>
      <c r="C1006" s="15">
        <f>+36308516159</f>
        <v>36308516159</v>
      </c>
      <c r="D1006" s="1">
        <v>3.0</v>
      </c>
      <c r="E1006" s="1">
        <v>3.0</v>
      </c>
      <c r="F1006" s="1">
        <v>30100.0</v>
      </c>
    </row>
    <row r="1007">
      <c r="A1007" s="1" t="s">
        <v>2095</v>
      </c>
      <c r="B1007" s="1" t="s">
        <v>2096</v>
      </c>
      <c r="C1007" s="15">
        <f>+36304874260</f>
        <v>36304874260</v>
      </c>
      <c r="D1007" s="1">
        <v>3.0</v>
      </c>
      <c r="E1007" s="1">
        <v>3.0</v>
      </c>
      <c r="F1007" s="1">
        <v>24500.0</v>
      </c>
    </row>
    <row r="1008">
      <c r="A1008" s="1" t="s">
        <v>2097</v>
      </c>
      <c r="B1008" s="1" t="s">
        <v>2098</v>
      </c>
      <c r="C1008" s="15">
        <f>+36202941602</f>
        <v>36202941602</v>
      </c>
      <c r="D1008" s="1">
        <v>4.0</v>
      </c>
      <c r="E1008" s="1">
        <v>3.0</v>
      </c>
      <c r="F1008" s="1">
        <v>43200.0</v>
      </c>
    </row>
    <row r="1009">
      <c r="A1009" s="1" t="s">
        <v>2099</v>
      </c>
      <c r="B1009" s="1" t="s">
        <v>2100</v>
      </c>
      <c r="C1009" s="15">
        <f>+36309462334</f>
        <v>36309462334</v>
      </c>
      <c r="D1009" s="1">
        <v>4.0</v>
      </c>
      <c r="E1009" s="1">
        <v>3.0</v>
      </c>
      <c r="F1009" s="1">
        <v>34500.0</v>
      </c>
    </row>
    <row r="1010">
      <c r="A1010" s="1" t="s">
        <v>2101</v>
      </c>
      <c r="B1010" s="1" t="s">
        <v>2102</v>
      </c>
      <c r="C1010" s="15">
        <f>+36304039628</f>
        <v>36304039628</v>
      </c>
      <c r="D1010" s="1">
        <v>3.0</v>
      </c>
      <c r="E1010" s="1">
        <v>3.0</v>
      </c>
      <c r="F1010" s="1">
        <v>25500.0</v>
      </c>
    </row>
    <row r="1011">
      <c r="A1011" s="1" t="s">
        <v>2103</v>
      </c>
      <c r="B1011" s="1" t="s">
        <v>2104</v>
      </c>
      <c r="C1011" s="15">
        <f>+36306176386</f>
        <v>36306176386</v>
      </c>
      <c r="D1011" s="1">
        <v>3.0</v>
      </c>
      <c r="E1011" s="1">
        <v>3.0</v>
      </c>
      <c r="F1011" s="1">
        <v>32500.0</v>
      </c>
    </row>
    <row r="1012">
      <c r="A1012" s="1" t="s">
        <v>2105</v>
      </c>
      <c r="B1012" s="1" t="s">
        <v>2106</v>
      </c>
      <c r="C1012" s="15">
        <f>+36309039538</f>
        <v>36309039538</v>
      </c>
      <c r="D1012" s="1">
        <v>3.0</v>
      </c>
      <c r="E1012" s="1">
        <v>3.0</v>
      </c>
      <c r="F1012" s="1">
        <v>33900.0</v>
      </c>
    </row>
    <row r="1013">
      <c r="A1013" s="1" t="s">
        <v>2107</v>
      </c>
      <c r="B1013" s="1" t="s">
        <v>2108</v>
      </c>
      <c r="C1013" s="15">
        <f>+36203389524</f>
        <v>36203389524</v>
      </c>
      <c r="D1013" s="1">
        <v>3.0</v>
      </c>
      <c r="E1013" s="1">
        <v>3.0</v>
      </c>
      <c r="F1013" s="1">
        <v>38000.0</v>
      </c>
    </row>
    <row r="1014">
      <c r="A1014" s="1" t="s">
        <v>2109</v>
      </c>
      <c r="B1014" s="1" t="s">
        <v>2110</v>
      </c>
      <c r="C1014" s="15">
        <f>+36305621321</f>
        <v>36305621321</v>
      </c>
      <c r="D1014" s="1">
        <v>1.0</v>
      </c>
      <c r="E1014" s="1">
        <v>3.0</v>
      </c>
      <c r="F1014" s="1">
        <v>24000.0</v>
      </c>
    </row>
    <row r="1015">
      <c r="A1015" s="1" t="s">
        <v>2111</v>
      </c>
      <c r="B1015" s="1" t="s">
        <v>2112</v>
      </c>
      <c r="C1015" s="15">
        <f>+36301867961</f>
        <v>36301867961</v>
      </c>
      <c r="D1015" s="1">
        <v>3.0</v>
      </c>
      <c r="E1015" s="1">
        <v>3.0</v>
      </c>
      <c r="F1015" s="1">
        <v>29600.0</v>
      </c>
    </row>
    <row r="1016">
      <c r="A1016" s="1" t="s">
        <v>2113</v>
      </c>
      <c r="B1016" s="1" t="s">
        <v>2114</v>
      </c>
      <c r="C1016" s="15">
        <f>+36304020452</f>
        <v>36304020452</v>
      </c>
      <c r="D1016" s="1">
        <v>3.0</v>
      </c>
      <c r="E1016" s="1">
        <v>3.0</v>
      </c>
      <c r="F1016" s="1">
        <v>27800.0</v>
      </c>
    </row>
    <row r="1017">
      <c r="A1017" s="1" t="s">
        <v>2115</v>
      </c>
      <c r="B1017" s="1" t="s">
        <v>2116</v>
      </c>
      <c r="C1017" s="15">
        <f>+36706064317</f>
        <v>36706064317</v>
      </c>
      <c r="D1017" s="1">
        <v>3.0</v>
      </c>
      <c r="E1017" s="1">
        <v>3.0</v>
      </c>
      <c r="F1017" s="1">
        <v>30700.0</v>
      </c>
    </row>
    <row r="1018">
      <c r="A1018" s="1" t="s">
        <v>2117</v>
      </c>
      <c r="B1018" s="1" t="s">
        <v>2118</v>
      </c>
      <c r="C1018" s="15">
        <f>+36702446989</f>
        <v>36702446989</v>
      </c>
      <c r="D1018" s="1">
        <v>2.0</v>
      </c>
      <c r="E1018" s="1">
        <v>3.0</v>
      </c>
      <c r="F1018" s="1">
        <v>29100.0</v>
      </c>
    </row>
    <row r="1019">
      <c r="A1019" s="1" t="s">
        <v>2119</v>
      </c>
      <c r="B1019" s="1" t="s">
        <v>2120</v>
      </c>
      <c r="C1019" s="15">
        <f>+36303658634</f>
        <v>36303658634</v>
      </c>
      <c r="D1019" s="1">
        <v>4.0</v>
      </c>
      <c r="E1019" s="1">
        <v>3.0</v>
      </c>
      <c r="F1019" s="1">
        <v>31200.0</v>
      </c>
    </row>
    <row r="1020">
      <c r="A1020" s="1" t="s">
        <v>2121</v>
      </c>
      <c r="B1020" s="1" t="s">
        <v>2122</v>
      </c>
      <c r="C1020" s="15">
        <f>+36208006612</f>
        <v>36208006612</v>
      </c>
      <c r="D1020" s="1">
        <v>3.0</v>
      </c>
      <c r="E1020" s="1">
        <v>3.0</v>
      </c>
      <c r="F1020" s="1">
        <v>25900.0</v>
      </c>
    </row>
    <row r="1021">
      <c r="A1021" s="1" t="s">
        <v>2123</v>
      </c>
      <c r="B1021" s="1" t="s">
        <v>2124</v>
      </c>
      <c r="C1021" s="15">
        <f>+36304446788</f>
        <v>36304446788</v>
      </c>
      <c r="D1021" s="1">
        <v>4.0</v>
      </c>
      <c r="E1021" s="1">
        <v>3.0</v>
      </c>
      <c r="F1021" s="1">
        <v>27700.0</v>
      </c>
    </row>
    <row r="1022">
      <c r="A1022" s="1" t="s">
        <v>2125</v>
      </c>
      <c r="B1022" s="1" t="s">
        <v>2126</v>
      </c>
      <c r="C1022" s="15">
        <f>+36303684328</f>
        <v>36303684328</v>
      </c>
      <c r="D1022" s="1">
        <v>3.0</v>
      </c>
      <c r="E1022" s="1">
        <v>3.0</v>
      </c>
      <c r="F1022" s="1">
        <v>36800.0</v>
      </c>
    </row>
    <row r="1023">
      <c r="A1023" s="1" t="s">
        <v>2127</v>
      </c>
      <c r="B1023" s="1" t="s">
        <v>2128</v>
      </c>
      <c r="C1023" s="15">
        <f>+36302699836</f>
        <v>36302699836</v>
      </c>
      <c r="D1023" s="1">
        <v>3.0</v>
      </c>
      <c r="E1023" s="1">
        <v>3.0</v>
      </c>
      <c r="F1023" s="1">
        <v>32300.0</v>
      </c>
    </row>
    <row r="1024">
      <c r="A1024" s="1" t="s">
        <v>2129</v>
      </c>
      <c r="B1024" s="1" t="s">
        <v>2130</v>
      </c>
      <c r="C1024" s="15">
        <f>+36204904301</f>
        <v>36204904301</v>
      </c>
      <c r="D1024" s="1">
        <v>2.0</v>
      </c>
      <c r="E1024" s="1">
        <v>3.0</v>
      </c>
      <c r="F1024" s="1">
        <v>33200.0</v>
      </c>
    </row>
    <row r="1025">
      <c r="A1025" s="1" t="s">
        <v>2131</v>
      </c>
      <c r="B1025" s="1" t="s">
        <v>2132</v>
      </c>
      <c r="C1025" s="15">
        <f>+36702027023</f>
        <v>36702027023</v>
      </c>
      <c r="D1025" s="1">
        <v>3.0</v>
      </c>
      <c r="E1025" s="1">
        <v>3.0</v>
      </c>
      <c r="F1025" s="1">
        <v>32500.0</v>
      </c>
    </row>
    <row r="1026">
      <c r="A1026" s="1" t="s">
        <v>2133</v>
      </c>
      <c r="B1026" s="1" t="s">
        <v>2134</v>
      </c>
      <c r="C1026" s="15">
        <f>+36305708328</f>
        <v>36305708328</v>
      </c>
      <c r="D1026" s="1">
        <v>4.0</v>
      </c>
      <c r="E1026" s="1">
        <v>3.0</v>
      </c>
      <c r="F1026" s="1">
        <v>25100.0</v>
      </c>
    </row>
    <row r="1027">
      <c r="A1027" s="1" t="s">
        <v>2135</v>
      </c>
      <c r="B1027" s="1" t="s">
        <v>2136</v>
      </c>
      <c r="C1027" s="15">
        <f>+36307374550</f>
        <v>36307374550</v>
      </c>
      <c r="D1027" s="1">
        <v>3.0</v>
      </c>
      <c r="E1027" s="1">
        <v>3.0</v>
      </c>
      <c r="F1027" s="1">
        <v>21900.0</v>
      </c>
    </row>
    <row r="1028">
      <c r="A1028" s="1" t="s">
        <v>2137</v>
      </c>
      <c r="B1028" s="1" t="s">
        <v>2138</v>
      </c>
      <c r="C1028" s="15">
        <f>+36305147969</f>
        <v>36305147969</v>
      </c>
      <c r="D1028" s="1">
        <v>3.0</v>
      </c>
      <c r="E1028" s="1">
        <v>3.0</v>
      </c>
      <c r="F1028" s="1">
        <v>35200.0</v>
      </c>
    </row>
    <row r="1029">
      <c r="A1029" s="1" t="s">
        <v>2139</v>
      </c>
      <c r="B1029" s="1" t="s">
        <v>2140</v>
      </c>
      <c r="C1029" s="15">
        <f>+36202958563</f>
        <v>36202958563</v>
      </c>
      <c r="D1029" s="1">
        <v>3.0</v>
      </c>
      <c r="E1029" s="1">
        <v>3.0</v>
      </c>
      <c r="F1029" s="1">
        <v>26800.0</v>
      </c>
    </row>
    <row r="1030">
      <c r="A1030" s="1" t="s">
        <v>2141</v>
      </c>
      <c r="B1030" s="1" t="s">
        <v>2142</v>
      </c>
      <c r="C1030" s="15">
        <f>+36209976189</f>
        <v>36209976189</v>
      </c>
      <c r="D1030" s="1">
        <v>4.0</v>
      </c>
      <c r="E1030" s="1">
        <v>3.0</v>
      </c>
      <c r="F1030" s="1">
        <v>23000.0</v>
      </c>
    </row>
    <row r="1031">
      <c r="A1031" s="1" t="s">
        <v>2143</v>
      </c>
      <c r="B1031" s="1" t="s">
        <v>2144</v>
      </c>
      <c r="C1031" s="15">
        <f>+36306085069</f>
        <v>36306085069</v>
      </c>
      <c r="D1031" s="1">
        <v>1.0</v>
      </c>
      <c r="E1031" s="1">
        <v>3.0</v>
      </c>
      <c r="F1031" s="1">
        <v>27000.0</v>
      </c>
    </row>
    <row r="1032">
      <c r="A1032" s="1" t="s">
        <v>2145</v>
      </c>
      <c r="B1032" s="1" t="s">
        <v>2146</v>
      </c>
      <c r="C1032" s="15">
        <f>+36305907508</f>
        <v>36305907508</v>
      </c>
      <c r="D1032" s="1">
        <v>3.0</v>
      </c>
      <c r="E1032" s="1">
        <v>3.0</v>
      </c>
      <c r="F1032" s="1">
        <v>36200.0</v>
      </c>
    </row>
    <row r="1033">
      <c r="A1033" s="1" t="s">
        <v>2147</v>
      </c>
      <c r="B1033" s="1" t="s">
        <v>2148</v>
      </c>
      <c r="C1033" s="15">
        <f>+36307429301</f>
        <v>36307429301</v>
      </c>
      <c r="D1033" s="1">
        <v>3.0</v>
      </c>
      <c r="E1033" s="1">
        <v>3.0</v>
      </c>
      <c r="F1033" s="1">
        <v>36100.0</v>
      </c>
    </row>
    <row r="1034">
      <c r="A1034" s="1" t="s">
        <v>2149</v>
      </c>
      <c r="B1034" s="1" t="s">
        <v>2150</v>
      </c>
      <c r="C1034" s="15">
        <f>+36303673211</f>
        <v>36303673211</v>
      </c>
      <c r="D1034" s="1">
        <v>3.0</v>
      </c>
      <c r="E1034" s="1">
        <v>3.0</v>
      </c>
      <c r="F1034" s="1">
        <v>22300.0</v>
      </c>
    </row>
    <row r="1035">
      <c r="A1035" s="1" t="s">
        <v>2151</v>
      </c>
      <c r="B1035" s="1" t="s">
        <v>2152</v>
      </c>
      <c r="C1035" s="15">
        <f>+36306538800</f>
        <v>36306538800</v>
      </c>
      <c r="D1035" s="1">
        <v>3.0</v>
      </c>
      <c r="E1035" s="1">
        <v>3.0</v>
      </c>
      <c r="F1035" s="1">
        <v>26200.0</v>
      </c>
    </row>
    <row r="1036">
      <c r="A1036" s="1" t="s">
        <v>2153</v>
      </c>
      <c r="B1036" s="1" t="s">
        <v>2154</v>
      </c>
      <c r="C1036" s="15">
        <f>+36702242618</f>
        <v>36702242618</v>
      </c>
      <c r="D1036" s="1">
        <v>3.0</v>
      </c>
      <c r="E1036" s="1">
        <v>3.0</v>
      </c>
      <c r="F1036" s="1">
        <v>34900.0</v>
      </c>
    </row>
    <row r="1037">
      <c r="A1037" s="1" t="s">
        <v>2155</v>
      </c>
      <c r="B1037" s="1" t="s">
        <v>2156</v>
      </c>
      <c r="C1037" s="15">
        <f>+36309596032</f>
        <v>36309596032</v>
      </c>
      <c r="D1037" s="1">
        <v>3.0</v>
      </c>
      <c r="E1037" s="1">
        <v>3.0</v>
      </c>
      <c r="F1037" s="1">
        <v>21000.0</v>
      </c>
    </row>
    <row r="1038">
      <c r="A1038" s="1" t="s">
        <v>2157</v>
      </c>
      <c r="B1038" s="1" t="s">
        <v>2158</v>
      </c>
      <c r="C1038" s="15">
        <f>+36705839909</f>
        <v>36705839909</v>
      </c>
      <c r="D1038" s="1">
        <v>3.0</v>
      </c>
      <c r="E1038" s="1">
        <v>3.0</v>
      </c>
      <c r="F1038" s="1">
        <v>26900.0</v>
      </c>
    </row>
    <row r="1039">
      <c r="A1039" s="1" t="s">
        <v>2159</v>
      </c>
      <c r="B1039" s="1" t="s">
        <v>2160</v>
      </c>
      <c r="C1039" s="15">
        <f>+36317882692</f>
        <v>36317882692</v>
      </c>
      <c r="D1039" s="1">
        <v>2.0</v>
      </c>
      <c r="E1039" s="1">
        <v>3.0</v>
      </c>
      <c r="F1039" s="1">
        <v>25900.0</v>
      </c>
    </row>
    <row r="1040">
      <c r="A1040" s="1" t="s">
        <v>2161</v>
      </c>
      <c r="B1040" s="1" t="s">
        <v>2162</v>
      </c>
      <c r="C1040" s="15">
        <f>+36705553970</f>
        <v>36705553970</v>
      </c>
      <c r="D1040" s="1">
        <v>2.0</v>
      </c>
      <c r="E1040" s="1">
        <v>3.0</v>
      </c>
      <c r="F1040" s="1">
        <v>33200.0</v>
      </c>
    </row>
    <row r="1041">
      <c r="A1041" s="1" t="s">
        <v>2163</v>
      </c>
      <c r="B1041" s="1" t="s">
        <v>2164</v>
      </c>
      <c r="C1041" s="15">
        <f>+36208052813</f>
        <v>36208052813</v>
      </c>
      <c r="D1041" s="1">
        <v>2.0</v>
      </c>
      <c r="E1041" s="1">
        <v>3.0</v>
      </c>
      <c r="F1041" s="1">
        <v>26100.0</v>
      </c>
    </row>
    <row r="1042">
      <c r="A1042" s="1" t="s">
        <v>2165</v>
      </c>
      <c r="B1042" s="1" t="s">
        <v>2166</v>
      </c>
      <c r="C1042" s="15">
        <f>+36203319555</f>
        <v>36203319555</v>
      </c>
      <c r="D1042" s="1">
        <v>2.0</v>
      </c>
      <c r="E1042" s="1">
        <v>3.0</v>
      </c>
      <c r="F1042" s="1">
        <v>31000.0</v>
      </c>
    </row>
    <row r="1043">
      <c r="A1043" s="1" t="s">
        <v>2167</v>
      </c>
      <c r="B1043" s="1" t="s">
        <v>2168</v>
      </c>
      <c r="C1043" s="15">
        <f>+36309312399</f>
        <v>36309312399</v>
      </c>
      <c r="D1043" s="1">
        <v>5.0</v>
      </c>
      <c r="E1043" s="1">
        <v>3.0</v>
      </c>
      <c r="F1043" s="1">
        <v>45600.0</v>
      </c>
    </row>
    <row r="1044">
      <c r="A1044" s="1" t="s">
        <v>2169</v>
      </c>
      <c r="B1044" s="1" t="s">
        <v>2170</v>
      </c>
      <c r="C1044" s="15">
        <f>+36209816791</f>
        <v>36209816791</v>
      </c>
      <c r="D1044" s="1">
        <v>3.0</v>
      </c>
      <c r="E1044" s="1">
        <v>3.0</v>
      </c>
      <c r="F1044" s="1">
        <v>41400.0</v>
      </c>
    </row>
    <row r="1045">
      <c r="A1045" s="1" t="s">
        <v>2171</v>
      </c>
      <c r="B1045" s="1" t="s">
        <v>2172</v>
      </c>
      <c r="C1045" s="15">
        <f>+36702496908</f>
        <v>36702496908</v>
      </c>
      <c r="D1045" s="1">
        <v>3.0</v>
      </c>
      <c r="E1045" s="1">
        <v>3.0</v>
      </c>
      <c r="F1045" s="1">
        <v>26800.0</v>
      </c>
    </row>
    <row r="1046">
      <c r="A1046" s="1" t="s">
        <v>2173</v>
      </c>
      <c r="B1046" s="1" t="s">
        <v>2174</v>
      </c>
      <c r="C1046" s="15">
        <f>+36308156047</f>
        <v>36308156047</v>
      </c>
      <c r="D1046" s="1">
        <v>3.0</v>
      </c>
      <c r="E1046" s="1">
        <v>3.0</v>
      </c>
      <c r="F1046" s="1">
        <v>27300.0</v>
      </c>
    </row>
    <row r="1047">
      <c r="A1047" s="1" t="s">
        <v>2175</v>
      </c>
      <c r="B1047" s="1" t="s">
        <v>2176</v>
      </c>
      <c r="C1047" s="15">
        <f>+36304153588</f>
        <v>36304153588</v>
      </c>
      <c r="D1047" s="1">
        <v>3.0</v>
      </c>
      <c r="E1047" s="1">
        <v>3.0</v>
      </c>
      <c r="F1047" s="1">
        <v>28700.0</v>
      </c>
    </row>
    <row r="1048">
      <c r="A1048" s="1" t="s">
        <v>2177</v>
      </c>
      <c r="B1048" s="1" t="s">
        <v>2178</v>
      </c>
      <c r="C1048" s="15">
        <f>+36305121015</f>
        <v>36305121015</v>
      </c>
      <c r="D1048" s="1">
        <v>1.0</v>
      </c>
      <c r="E1048" s="1">
        <v>3.0</v>
      </c>
      <c r="F1048" s="1">
        <v>28800.0</v>
      </c>
    </row>
    <row r="1049">
      <c r="A1049" s="1" t="s">
        <v>2179</v>
      </c>
      <c r="B1049" s="1" t="s">
        <v>2180</v>
      </c>
      <c r="C1049" s="15">
        <f>+385977206591</f>
        <v>385977206591</v>
      </c>
      <c r="D1049" s="1">
        <v>3.0</v>
      </c>
      <c r="E1049" s="1">
        <v>3.0</v>
      </c>
      <c r="F1049" s="1">
        <v>34500.0</v>
      </c>
    </row>
    <row r="1050">
      <c r="A1050" s="1" t="s">
        <v>2181</v>
      </c>
      <c r="B1050" s="1" t="s">
        <v>2182</v>
      </c>
      <c r="C1050" s="15">
        <f>+36706112658</f>
        <v>36706112658</v>
      </c>
      <c r="D1050" s="1">
        <v>3.0</v>
      </c>
      <c r="E1050" s="1">
        <v>3.0</v>
      </c>
      <c r="F1050" s="1">
        <v>41200.0</v>
      </c>
    </row>
    <row r="1051">
      <c r="A1051" s="1" t="s">
        <v>2183</v>
      </c>
      <c r="B1051" s="1" t="s">
        <v>2184</v>
      </c>
      <c r="C1051" s="15">
        <f>+36703970326</f>
        <v>36703970326</v>
      </c>
      <c r="D1051" s="1">
        <v>3.0</v>
      </c>
      <c r="E1051" s="1">
        <v>3.0</v>
      </c>
      <c r="F1051" s="1">
        <v>25800.0</v>
      </c>
    </row>
    <row r="1052">
      <c r="A1052" s="1" t="s">
        <v>2185</v>
      </c>
      <c r="B1052" s="1" t="s">
        <v>2186</v>
      </c>
      <c r="C1052" s="15">
        <f>+36202350595</f>
        <v>36202350595</v>
      </c>
      <c r="D1052" s="1">
        <v>2.0</v>
      </c>
      <c r="E1052" s="1">
        <v>3.0</v>
      </c>
      <c r="F1052" s="1">
        <v>40000.0</v>
      </c>
    </row>
    <row r="1053">
      <c r="A1053" s="1" t="s">
        <v>2187</v>
      </c>
      <c r="B1053" s="1" t="s">
        <v>2188</v>
      </c>
      <c r="C1053" s="15">
        <f>+36704428722</f>
        <v>36704428722</v>
      </c>
      <c r="D1053" s="1">
        <v>3.0</v>
      </c>
      <c r="E1053" s="1">
        <v>3.0</v>
      </c>
      <c r="F1053" s="1">
        <v>28400.0</v>
      </c>
    </row>
    <row r="1054">
      <c r="A1054" s="1" t="s">
        <v>2189</v>
      </c>
      <c r="B1054" s="1" t="s">
        <v>2190</v>
      </c>
      <c r="C1054" s="15">
        <f>+36302043367</f>
        <v>36302043367</v>
      </c>
      <c r="D1054" s="1">
        <v>3.0</v>
      </c>
      <c r="E1054" s="1">
        <v>3.0</v>
      </c>
      <c r="F1054" s="1">
        <v>28400.0</v>
      </c>
    </row>
    <row r="1055">
      <c r="A1055" s="1" t="s">
        <v>2191</v>
      </c>
      <c r="B1055" s="1" t="s">
        <v>2192</v>
      </c>
      <c r="C1055" s="15">
        <f>+36317811771</f>
        <v>36317811771</v>
      </c>
      <c r="D1055" s="1">
        <v>3.0</v>
      </c>
      <c r="E1055" s="1">
        <v>3.0</v>
      </c>
      <c r="F1055" s="1">
        <v>36400.0</v>
      </c>
    </row>
    <row r="1056">
      <c r="A1056" s="1" t="s">
        <v>2193</v>
      </c>
      <c r="B1056" s="1" t="s">
        <v>2194</v>
      </c>
      <c r="C1056" s="15">
        <f>+36302761558</f>
        <v>36302761558</v>
      </c>
      <c r="D1056" s="1">
        <v>3.0</v>
      </c>
      <c r="E1056" s="1">
        <v>3.0</v>
      </c>
      <c r="F1056" s="1">
        <v>29700.0</v>
      </c>
    </row>
    <row r="1057">
      <c r="A1057" s="1" t="s">
        <v>2195</v>
      </c>
      <c r="B1057" s="1" t="s">
        <v>2196</v>
      </c>
      <c r="C1057" s="15">
        <f>+36206196087</f>
        <v>36206196087</v>
      </c>
      <c r="D1057" s="1">
        <v>3.0</v>
      </c>
      <c r="E1057" s="1">
        <v>3.0</v>
      </c>
      <c r="F1057" s="1">
        <v>27800.0</v>
      </c>
    </row>
    <row r="1058">
      <c r="A1058" s="1" t="s">
        <v>2197</v>
      </c>
      <c r="B1058" s="1" t="s">
        <v>2198</v>
      </c>
      <c r="C1058" s="15">
        <f>+36206101155</f>
        <v>36206101155</v>
      </c>
      <c r="D1058" s="1">
        <v>4.0</v>
      </c>
      <c r="E1058" s="1">
        <v>3.0</v>
      </c>
      <c r="F1058" s="1">
        <v>51100.0</v>
      </c>
    </row>
    <row r="1059">
      <c r="A1059" s="1" t="s">
        <v>2199</v>
      </c>
      <c r="B1059" s="1" t="s">
        <v>2200</v>
      </c>
      <c r="C1059" s="15">
        <f>+36302621521</f>
        <v>36302621521</v>
      </c>
      <c r="D1059" s="1">
        <v>4.0</v>
      </c>
      <c r="E1059" s="1">
        <v>3.0</v>
      </c>
      <c r="F1059" s="1">
        <v>32900.0</v>
      </c>
    </row>
    <row r="1060">
      <c r="A1060" s="1" t="s">
        <v>2201</v>
      </c>
      <c r="B1060" s="1" t="s">
        <v>2202</v>
      </c>
      <c r="C1060" s="15">
        <f>+36707701367</f>
        <v>36707701367</v>
      </c>
      <c r="D1060" s="1">
        <v>3.0</v>
      </c>
      <c r="E1060" s="1">
        <v>3.0</v>
      </c>
      <c r="F1060" s="1">
        <v>40000.0</v>
      </c>
    </row>
    <row r="1061">
      <c r="A1061" s="1" t="s">
        <v>2203</v>
      </c>
      <c r="B1061" s="1" t="s">
        <v>2204</v>
      </c>
      <c r="C1061" s="15">
        <f>+36305581218</f>
        <v>36305581218</v>
      </c>
      <c r="D1061" s="1">
        <v>3.0</v>
      </c>
      <c r="E1061" s="1">
        <v>3.0</v>
      </c>
      <c r="F1061" s="1">
        <v>25900.0</v>
      </c>
    </row>
    <row r="1062">
      <c r="A1062" s="1" t="s">
        <v>2205</v>
      </c>
      <c r="B1062" s="1" t="s">
        <v>2206</v>
      </c>
      <c r="C1062" s="15">
        <f>+36707950366</f>
        <v>36707950366</v>
      </c>
      <c r="D1062" s="1">
        <v>4.0</v>
      </c>
      <c r="E1062" s="1">
        <v>3.0</v>
      </c>
      <c r="F1062" s="1">
        <v>53400.0</v>
      </c>
    </row>
    <row r="1063">
      <c r="A1063" s="1" t="s">
        <v>2207</v>
      </c>
      <c r="B1063" s="1" t="s">
        <v>2208</v>
      </c>
      <c r="C1063" s="15">
        <f>+36206168161</f>
        <v>36206168161</v>
      </c>
      <c r="D1063" s="1">
        <v>3.0</v>
      </c>
      <c r="E1063" s="1">
        <v>3.0</v>
      </c>
      <c r="F1063" s="1">
        <v>22800.0</v>
      </c>
    </row>
    <row r="1064">
      <c r="A1064" s="1" t="s">
        <v>2209</v>
      </c>
      <c r="B1064" s="1" t="s">
        <v>2210</v>
      </c>
      <c r="C1064" s="15">
        <f>+36703849548</f>
        <v>36703849548</v>
      </c>
      <c r="D1064" s="1">
        <v>2.0</v>
      </c>
      <c r="E1064" s="1">
        <v>3.0</v>
      </c>
      <c r="F1064" s="1">
        <v>37400.0</v>
      </c>
    </row>
    <row r="1065">
      <c r="A1065" s="1" t="s">
        <v>2211</v>
      </c>
      <c r="B1065" s="1" t="s">
        <v>2212</v>
      </c>
      <c r="C1065" s="15">
        <f>+36702879336</f>
        <v>36702879336</v>
      </c>
      <c r="D1065" s="1">
        <v>2.0</v>
      </c>
      <c r="E1065" s="1">
        <v>3.0</v>
      </c>
      <c r="F1065" s="1">
        <v>26100.0</v>
      </c>
    </row>
    <row r="1066">
      <c r="A1066" s="1" t="s">
        <v>2213</v>
      </c>
      <c r="B1066" s="1" t="s">
        <v>2214</v>
      </c>
      <c r="C1066" s="15">
        <f>+36706231815</f>
        <v>36706231815</v>
      </c>
      <c r="D1066" s="1">
        <v>7.0</v>
      </c>
      <c r="E1066" s="1">
        <v>3.0</v>
      </c>
      <c r="F1066" s="1">
        <v>78700.0</v>
      </c>
    </row>
    <row r="1067">
      <c r="A1067" s="1" t="s">
        <v>2215</v>
      </c>
      <c r="B1067" s="1" t="s">
        <v>2216</v>
      </c>
      <c r="C1067" s="15">
        <f>+36303987085</f>
        <v>36303987085</v>
      </c>
      <c r="D1067" s="1">
        <v>8.0</v>
      </c>
      <c r="E1067" s="1">
        <v>3.0</v>
      </c>
      <c r="F1067" s="1">
        <v>55700.0</v>
      </c>
    </row>
    <row r="1068">
      <c r="A1068" s="1" t="s">
        <v>2217</v>
      </c>
      <c r="B1068" s="1" t="s">
        <v>2218</v>
      </c>
      <c r="C1068" s="15">
        <f>+36202545806</f>
        <v>36202545806</v>
      </c>
      <c r="D1068" s="1">
        <v>3.0</v>
      </c>
      <c r="E1068" s="1">
        <v>3.0</v>
      </c>
      <c r="F1068" s="1">
        <v>32700.0</v>
      </c>
    </row>
    <row r="1069">
      <c r="A1069" s="1" t="s">
        <v>2219</v>
      </c>
      <c r="B1069" s="1" t="s">
        <v>2220</v>
      </c>
      <c r="C1069" s="15">
        <f>+36205317875</f>
        <v>36205317875</v>
      </c>
      <c r="D1069" s="1">
        <v>2.0</v>
      </c>
      <c r="E1069" s="1">
        <v>2.0</v>
      </c>
      <c r="F1069" s="1">
        <v>19800.0</v>
      </c>
    </row>
    <row r="1070">
      <c r="A1070" s="1" t="s">
        <v>2221</v>
      </c>
      <c r="B1070" s="1" t="s">
        <v>2222</v>
      </c>
      <c r="C1070" s="15">
        <f>+36309400888</f>
        <v>36309400888</v>
      </c>
      <c r="D1070" s="1">
        <v>3.0</v>
      </c>
      <c r="E1070" s="1">
        <v>2.0</v>
      </c>
      <c r="F1070" s="1">
        <v>32600.0</v>
      </c>
    </row>
    <row r="1071">
      <c r="A1071" s="1" t="s">
        <v>2223</v>
      </c>
      <c r="B1071" s="1" t="s">
        <v>2224</v>
      </c>
      <c r="C1071" s="15">
        <f>+36302190442</f>
        <v>36302190442</v>
      </c>
      <c r="D1071" s="1">
        <v>2.0</v>
      </c>
      <c r="E1071" s="1">
        <v>2.0</v>
      </c>
      <c r="F1071" s="1">
        <v>23400.0</v>
      </c>
    </row>
    <row r="1072">
      <c r="A1072" s="1" t="s">
        <v>2225</v>
      </c>
      <c r="B1072" s="1" t="s">
        <v>2226</v>
      </c>
      <c r="C1072" s="15">
        <f>+36304077134</f>
        <v>36304077134</v>
      </c>
      <c r="D1072" s="1">
        <v>3.0</v>
      </c>
      <c r="E1072" s="1">
        <v>2.0</v>
      </c>
      <c r="F1072" s="1">
        <v>34400.0</v>
      </c>
    </row>
    <row r="1073">
      <c r="A1073" s="1" t="s">
        <v>2227</v>
      </c>
      <c r="B1073" s="1" t="s">
        <v>2228</v>
      </c>
      <c r="C1073" s="15">
        <f>+36207733049</f>
        <v>36207733049</v>
      </c>
      <c r="D1073" s="1">
        <v>2.0</v>
      </c>
      <c r="E1073" s="1">
        <v>2.0</v>
      </c>
      <c r="F1073" s="1">
        <v>26800.0</v>
      </c>
    </row>
    <row r="1074">
      <c r="A1074" s="1" t="s">
        <v>2229</v>
      </c>
      <c r="B1074" s="1" t="s">
        <v>2230</v>
      </c>
      <c r="C1074" s="15">
        <f>+36306257800</f>
        <v>36306257800</v>
      </c>
      <c r="D1074" s="1">
        <v>2.0</v>
      </c>
      <c r="E1074" s="1">
        <v>2.0</v>
      </c>
      <c r="F1074" s="1">
        <v>14100.0</v>
      </c>
    </row>
    <row r="1075">
      <c r="A1075" s="1" t="s">
        <v>2231</v>
      </c>
      <c r="B1075" s="1" t="s">
        <v>2232</v>
      </c>
      <c r="C1075" s="15">
        <f>+36204198351</f>
        <v>36204198351</v>
      </c>
      <c r="D1075" s="1">
        <v>1.0</v>
      </c>
      <c r="E1075" s="1">
        <v>2.0</v>
      </c>
      <c r="F1075" s="1">
        <v>19600.0</v>
      </c>
    </row>
    <row r="1076">
      <c r="A1076" s="1" t="s">
        <v>2233</v>
      </c>
      <c r="B1076" s="1" t="s">
        <v>2234</v>
      </c>
      <c r="C1076" s="15">
        <f>+36209380012</f>
        <v>36209380012</v>
      </c>
      <c r="D1076" s="1">
        <v>2.0</v>
      </c>
      <c r="E1076" s="1">
        <v>2.0</v>
      </c>
      <c r="F1076" s="1">
        <v>17000.0</v>
      </c>
    </row>
    <row r="1077">
      <c r="A1077" s="1" t="s">
        <v>2235</v>
      </c>
      <c r="B1077" s="1" t="s">
        <v>2236</v>
      </c>
      <c r="C1077" s="15">
        <f>+36202852484</f>
        <v>36202852484</v>
      </c>
      <c r="D1077" s="1">
        <v>1.0</v>
      </c>
      <c r="E1077" s="1">
        <v>2.0</v>
      </c>
      <c r="F1077" s="1">
        <v>19200.0</v>
      </c>
    </row>
    <row r="1078">
      <c r="A1078" s="1" t="s">
        <v>2237</v>
      </c>
      <c r="B1078" s="1" t="s">
        <v>2238</v>
      </c>
      <c r="C1078" s="15">
        <f>+36303113330</f>
        <v>36303113330</v>
      </c>
      <c r="D1078" s="1">
        <v>8.0</v>
      </c>
      <c r="E1078" s="1">
        <v>2.0</v>
      </c>
      <c r="F1078" s="1">
        <v>46900.0</v>
      </c>
    </row>
    <row r="1079">
      <c r="A1079" s="1" t="s">
        <v>2239</v>
      </c>
      <c r="B1079" s="1" t="s">
        <v>2240</v>
      </c>
      <c r="C1079" s="15">
        <f>+36309209562</f>
        <v>36309209562</v>
      </c>
      <c r="D1079" s="1">
        <v>2.0</v>
      </c>
      <c r="E1079" s="1">
        <v>2.0</v>
      </c>
      <c r="F1079" s="1">
        <v>20800.0</v>
      </c>
    </row>
    <row r="1080">
      <c r="A1080" s="1" t="s">
        <v>2241</v>
      </c>
      <c r="B1080" s="1" t="s">
        <v>2242</v>
      </c>
      <c r="C1080" s="15">
        <f>+36703366787</f>
        <v>36703366787</v>
      </c>
      <c r="D1080" s="1">
        <v>2.0</v>
      </c>
      <c r="E1080" s="1">
        <v>2.0</v>
      </c>
      <c r="F1080" s="1">
        <v>49300.0</v>
      </c>
    </row>
    <row r="1081">
      <c r="A1081" s="1" t="s">
        <v>2243</v>
      </c>
      <c r="B1081" s="1" t="s">
        <v>2244</v>
      </c>
      <c r="C1081" s="15">
        <f>+36209192911</f>
        <v>36209192911</v>
      </c>
      <c r="D1081" s="1">
        <v>2.0</v>
      </c>
      <c r="E1081" s="1">
        <v>2.0</v>
      </c>
      <c r="F1081" s="1">
        <v>15100.0</v>
      </c>
    </row>
    <row r="1082">
      <c r="A1082" s="1" t="s">
        <v>2245</v>
      </c>
      <c r="B1082" s="1" t="s">
        <v>2246</v>
      </c>
      <c r="C1082" s="15">
        <f>+36302607712</f>
        <v>36302607712</v>
      </c>
      <c r="D1082" s="1">
        <v>2.0</v>
      </c>
      <c r="E1082" s="1">
        <v>2.0</v>
      </c>
      <c r="F1082" s="1">
        <v>71400.0</v>
      </c>
    </row>
    <row r="1083">
      <c r="A1083" s="1" t="s">
        <v>2247</v>
      </c>
      <c r="B1083" s="1" t="s">
        <v>2248</v>
      </c>
      <c r="C1083" s="15">
        <f>+36301211167</f>
        <v>36301211167</v>
      </c>
      <c r="D1083" s="1">
        <v>2.0</v>
      </c>
      <c r="E1083" s="1">
        <v>2.0</v>
      </c>
      <c r="F1083" s="1">
        <v>32200.0</v>
      </c>
    </row>
    <row r="1084">
      <c r="A1084" s="1" t="s">
        <v>2249</v>
      </c>
      <c r="B1084" s="1" t="s">
        <v>2250</v>
      </c>
      <c r="C1084" s="15">
        <f>+36302393857</f>
        <v>36302393857</v>
      </c>
      <c r="D1084" s="1">
        <v>2.0</v>
      </c>
      <c r="E1084" s="1">
        <v>2.0</v>
      </c>
      <c r="F1084" s="1">
        <v>14700.0</v>
      </c>
    </row>
    <row r="1085">
      <c r="A1085" s="1" t="s">
        <v>2251</v>
      </c>
      <c r="B1085" s="1" t="s">
        <v>2252</v>
      </c>
      <c r="C1085" s="15">
        <f>+36302749187</f>
        <v>36302749187</v>
      </c>
      <c r="D1085" s="1">
        <v>2.0</v>
      </c>
      <c r="E1085" s="1">
        <v>2.0</v>
      </c>
      <c r="F1085" s="1">
        <v>17000.0</v>
      </c>
    </row>
    <row r="1086">
      <c r="A1086" s="1" t="s">
        <v>2253</v>
      </c>
      <c r="B1086" s="1" t="s">
        <v>2254</v>
      </c>
      <c r="C1086" s="15">
        <f>+36303965465</f>
        <v>36303965465</v>
      </c>
      <c r="D1086" s="1">
        <v>2.0</v>
      </c>
      <c r="E1086" s="1">
        <v>2.0</v>
      </c>
      <c r="F1086" s="1">
        <v>28000.0</v>
      </c>
    </row>
    <row r="1087">
      <c r="A1087" s="1" t="s">
        <v>2255</v>
      </c>
      <c r="B1087" s="1" t="s">
        <v>2256</v>
      </c>
      <c r="C1087" s="15">
        <f>+36308278617</f>
        <v>36308278617</v>
      </c>
      <c r="D1087" s="1">
        <v>2.0</v>
      </c>
      <c r="E1087" s="1">
        <v>2.0</v>
      </c>
      <c r="F1087" s="1">
        <v>17100.0</v>
      </c>
    </row>
    <row r="1088">
      <c r="A1088" s="1" t="s">
        <v>2257</v>
      </c>
      <c r="B1088" s="1" t="s">
        <v>2258</v>
      </c>
      <c r="C1088" s="15">
        <f>+36303436551</f>
        <v>36303436551</v>
      </c>
      <c r="D1088" s="1">
        <v>3.0</v>
      </c>
      <c r="E1088" s="1">
        <v>2.0</v>
      </c>
      <c r="F1088" s="1">
        <v>21500.0</v>
      </c>
    </row>
    <row r="1089">
      <c r="A1089" s="1" t="s">
        <v>2259</v>
      </c>
      <c r="B1089" s="1" t="s">
        <v>2260</v>
      </c>
      <c r="C1089" s="15">
        <f>+36203877935</f>
        <v>36203877935</v>
      </c>
      <c r="D1089" s="1">
        <v>2.0</v>
      </c>
      <c r="E1089" s="1">
        <v>2.0</v>
      </c>
      <c r="F1089" s="1">
        <v>16200.0</v>
      </c>
    </row>
    <row r="1090">
      <c r="A1090" s="1" t="s">
        <v>2261</v>
      </c>
      <c r="B1090" s="1" t="s">
        <v>2262</v>
      </c>
      <c r="C1090" s="15">
        <f>+36204011442</f>
        <v>36204011442</v>
      </c>
      <c r="D1090" s="1">
        <v>1.0</v>
      </c>
      <c r="E1090" s="1">
        <v>2.0</v>
      </c>
      <c r="F1090" s="1">
        <v>26000.0</v>
      </c>
    </row>
    <row r="1091">
      <c r="A1091" s="1" t="s">
        <v>2263</v>
      </c>
      <c r="B1091" s="1" t="s">
        <v>2264</v>
      </c>
      <c r="C1091" s="15">
        <f>+36304169843</f>
        <v>36304169843</v>
      </c>
      <c r="D1091" s="1">
        <v>1.0</v>
      </c>
      <c r="E1091" s="1">
        <v>2.0</v>
      </c>
      <c r="F1091" s="1">
        <v>21200.0</v>
      </c>
    </row>
    <row r="1092">
      <c r="A1092" s="1" t="s">
        <v>2265</v>
      </c>
      <c r="B1092" s="1" t="s">
        <v>2266</v>
      </c>
      <c r="C1092" s="15">
        <f>+36705453540</f>
        <v>36705453540</v>
      </c>
      <c r="D1092" s="1">
        <v>1.0</v>
      </c>
      <c r="E1092" s="1">
        <v>2.0</v>
      </c>
      <c r="F1092" s="1">
        <v>11600.0</v>
      </c>
    </row>
    <row r="1093">
      <c r="A1093" s="1" t="s">
        <v>2267</v>
      </c>
      <c r="B1093" s="1" t="s">
        <v>2268</v>
      </c>
      <c r="C1093" s="15">
        <f>+36706008736</f>
        <v>36706008736</v>
      </c>
      <c r="D1093" s="1">
        <v>2.0</v>
      </c>
      <c r="E1093" s="1">
        <v>2.0</v>
      </c>
      <c r="F1093" s="1">
        <v>24100.0</v>
      </c>
    </row>
    <row r="1094">
      <c r="A1094" s="1" t="s">
        <v>2269</v>
      </c>
      <c r="B1094" s="1" t="s">
        <v>2270</v>
      </c>
      <c r="C1094" s="15">
        <f>+36305218547</f>
        <v>36305218547</v>
      </c>
      <c r="D1094" s="1">
        <v>4.0</v>
      </c>
      <c r="E1094" s="1">
        <v>2.0</v>
      </c>
      <c r="F1094" s="1">
        <v>19300.0</v>
      </c>
    </row>
    <row r="1095">
      <c r="A1095" s="1" t="s">
        <v>2271</v>
      </c>
      <c r="B1095" s="1" t="s">
        <v>2272</v>
      </c>
      <c r="C1095" s="15">
        <f>+36209723197</f>
        <v>36209723197</v>
      </c>
      <c r="D1095" s="1">
        <v>2.0</v>
      </c>
      <c r="E1095" s="1">
        <v>2.0</v>
      </c>
      <c r="F1095" s="1">
        <v>24100.0</v>
      </c>
    </row>
    <row r="1096">
      <c r="A1096" s="1" t="s">
        <v>2273</v>
      </c>
      <c r="B1096" s="1" t="s">
        <v>2274</v>
      </c>
      <c r="C1096" s="15">
        <f>+36307486461</f>
        <v>36307486461</v>
      </c>
      <c r="D1096" s="1">
        <v>2.0</v>
      </c>
      <c r="E1096" s="1">
        <v>2.0</v>
      </c>
      <c r="F1096" s="1">
        <v>20800.0</v>
      </c>
    </row>
    <row r="1097">
      <c r="A1097" s="1" t="s">
        <v>2275</v>
      </c>
      <c r="B1097" s="1" t="s">
        <v>2276</v>
      </c>
      <c r="C1097" s="15">
        <f>+36308388445</f>
        <v>36308388445</v>
      </c>
      <c r="D1097" s="1">
        <v>2.0</v>
      </c>
      <c r="E1097" s="1">
        <v>2.0</v>
      </c>
      <c r="F1097" s="1">
        <v>17700.0</v>
      </c>
    </row>
    <row r="1098">
      <c r="A1098" s="1" t="s">
        <v>2277</v>
      </c>
      <c r="B1098" s="1" t="s">
        <v>2278</v>
      </c>
      <c r="C1098" s="15">
        <f>+36302609937</f>
        <v>36302609937</v>
      </c>
      <c r="D1098" s="1">
        <v>2.0</v>
      </c>
      <c r="E1098" s="1">
        <v>2.0</v>
      </c>
      <c r="F1098" s="1">
        <v>13300.0</v>
      </c>
    </row>
    <row r="1099">
      <c r="A1099" s="1" t="s">
        <v>2279</v>
      </c>
      <c r="B1099" s="1" t="s">
        <v>2280</v>
      </c>
      <c r="C1099" s="15">
        <f>+36302058335</f>
        <v>36302058335</v>
      </c>
      <c r="D1099" s="1">
        <v>2.0</v>
      </c>
      <c r="E1099" s="1">
        <v>2.0</v>
      </c>
      <c r="F1099" s="1">
        <v>32800.0</v>
      </c>
    </row>
    <row r="1100">
      <c r="A1100" s="1" t="s">
        <v>2281</v>
      </c>
      <c r="B1100" s="1" t="s">
        <v>2282</v>
      </c>
      <c r="C1100" s="15">
        <f>+381643512361</f>
        <v>381643512361</v>
      </c>
      <c r="D1100" s="1">
        <v>1.0</v>
      </c>
      <c r="E1100" s="1">
        <v>2.0</v>
      </c>
      <c r="F1100" s="1">
        <v>33200.0</v>
      </c>
    </row>
    <row r="1101">
      <c r="A1101" s="1" t="s">
        <v>2283</v>
      </c>
      <c r="B1101" s="1" t="s">
        <v>2284</v>
      </c>
      <c r="C1101" s="15">
        <f>+36304598732</f>
        <v>36304598732</v>
      </c>
      <c r="D1101" s="1">
        <v>2.0</v>
      </c>
      <c r="E1101" s="1">
        <v>2.0</v>
      </c>
      <c r="F1101" s="1">
        <v>21400.0</v>
      </c>
    </row>
    <row r="1102">
      <c r="A1102" s="1" t="s">
        <v>2285</v>
      </c>
      <c r="B1102" s="1" t="s">
        <v>2286</v>
      </c>
      <c r="C1102" s="15">
        <f>+36202780627</f>
        <v>36202780627</v>
      </c>
      <c r="D1102" s="1">
        <v>2.0</v>
      </c>
      <c r="E1102" s="1">
        <v>2.0</v>
      </c>
      <c r="F1102" s="1">
        <v>19500.0</v>
      </c>
    </row>
    <row r="1103">
      <c r="A1103" s="1" t="s">
        <v>2287</v>
      </c>
      <c r="B1103" s="1" t="s">
        <v>2288</v>
      </c>
      <c r="C1103" s="15">
        <f>+36703114361</f>
        <v>36703114361</v>
      </c>
      <c r="D1103" s="1">
        <v>2.0</v>
      </c>
      <c r="E1103" s="1">
        <v>2.0</v>
      </c>
      <c r="F1103" s="1">
        <v>21400.0</v>
      </c>
    </row>
    <row r="1104">
      <c r="A1104" s="1" t="s">
        <v>2289</v>
      </c>
      <c r="B1104" s="1" t="s">
        <v>2290</v>
      </c>
      <c r="C1104" s="15">
        <f>+36305688332</f>
        <v>36305688332</v>
      </c>
      <c r="D1104" s="1">
        <v>1.0</v>
      </c>
      <c r="E1104" s="1">
        <v>2.0</v>
      </c>
      <c r="F1104" s="1">
        <v>26000.0</v>
      </c>
    </row>
    <row r="1105">
      <c r="A1105" s="1" t="s">
        <v>2291</v>
      </c>
      <c r="B1105" s="1" t="s">
        <v>2292</v>
      </c>
      <c r="C1105" s="15">
        <f>+36309471245</f>
        <v>36309471245</v>
      </c>
      <c r="D1105" s="1">
        <v>1.0</v>
      </c>
      <c r="E1105" s="1">
        <v>2.0</v>
      </c>
      <c r="F1105" s="1">
        <v>18000.0</v>
      </c>
    </row>
    <row r="1106">
      <c r="A1106" s="1" t="s">
        <v>2293</v>
      </c>
      <c r="B1106" s="1" t="s">
        <v>2294</v>
      </c>
      <c r="C1106" s="15">
        <f>+36709484188</f>
        <v>36709484188</v>
      </c>
      <c r="D1106" s="1">
        <v>2.0</v>
      </c>
      <c r="E1106" s="1">
        <v>2.0</v>
      </c>
      <c r="F1106" s="1">
        <v>18700.0</v>
      </c>
    </row>
    <row r="1107">
      <c r="A1107" s="1" t="s">
        <v>2295</v>
      </c>
      <c r="B1107" s="1" t="s">
        <v>2296</v>
      </c>
      <c r="C1107" s="15">
        <f>+36303564862</f>
        <v>36303564862</v>
      </c>
      <c r="D1107" s="1">
        <v>3.0</v>
      </c>
      <c r="E1107" s="1">
        <v>2.0</v>
      </c>
      <c r="F1107" s="1">
        <v>20700.0</v>
      </c>
    </row>
    <row r="1108">
      <c r="A1108" s="1" t="s">
        <v>2297</v>
      </c>
      <c r="B1108" s="1" t="s">
        <v>2298</v>
      </c>
      <c r="C1108" s="15">
        <f>+36206613207</f>
        <v>36206613207</v>
      </c>
      <c r="D1108" s="1">
        <v>2.0</v>
      </c>
      <c r="E1108" s="1">
        <v>2.0</v>
      </c>
      <c r="F1108" s="1">
        <v>20400.0</v>
      </c>
    </row>
    <row r="1109">
      <c r="A1109" s="1" t="s">
        <v>2299</v>
      </c>
      <c r="B1109" s="1" t="s">
        <v>2300</v>
      </c>
      <c r="C1109" s="15">
        <f>+36703280305</f>
        <v>36703280305</v>
      </c>
      <c r="D1109" s="1">
        <v>2.0</v>
      </c>
      <c r="E1109" s="1">
        <v>2.0</v>
      </c>
      <c r="F1109" s="1">
        <v>15200.0</v>
      </c>
    </row>
    <row r="1110">
      <c r="A1110" s="1" t="s">
        <v>2301</v>
      </c>
      <c r="B1110" s="1" t="s">
        <v>2302</v>
      </c>
      <c r="C1110" s="15">
        <f>+36305017434</f>
        <v>36305017434</v>
      </c>
      <c r="D1110" s="1">
        <v>1.0</v>
      </c>
      <c r="E1110" s="1">
        <v>2.0</v>
      </c>
      <c r="F1110" s="1">
        <v>19600.0</v>
      </c>
    </row>
    <row r="1111">
      <c r="A1111" s="1" t="s">
        <v>2303</v>
      </c>
      <c r="B1111" s="1" t="s">
        <v>2304</v>
      </c>
      <c r="C1111" s="15">
        <f>+36205170150</f>
        <v>36205170150</v>
      </c>
      <c r="D1111" s="1">
        <v>2.0</v>
      </c>
      <c r="E1111" s="1">
        <v>2.0</v>
      </c>
      <c r="F1111" s="1">
        <v>25700.0</v>
      </c>
    </row>
    <row r="1112">
      <c r="A1112" s="1" t="s">
        <v>2305</v>
      </c>
      <c r="B1112" s="1" t="s">
        <v>2306</v>
      </c>
      <c r="C1112" s="15">
        <f>+36207739231</f>
        <v>36207739231</v>
      </c>
      <c r="D1112" s="1">
        <v>2.0</v>
      </c>
      <c r="E1112" s="1">
        <v>2.0</v>
      </c>
      <c r="F1112" s="1">
        <v>19500.0</v>
      </c>
    </row>
    <row r="1113">
      <c r="A1113" s="1" t="s">
        <v>2307</v>
      </c>
      <c r="B1113" s="1" t="s">
        <v>2308</v>
      </c>
      <c r="C1113" s="15">
        <f>+36202645528</f>
        <v>36202645528</v>
      </c>
      <c r="D1113" s="1">
        <v>2.0</v>
      </c>
      <c r="E1113" s="1">
        <v>2.0</v>
      </c>
      <c r="F1113" s="1">
        <v>17500.0</v>
      </c>
    </row>
    <row r="1114">
      <c r="A1114" s="1" t="s">
        <v>2309</v>
      </c>
      <c r="B1114" s="1" t="s">
        <v>2310</v>
      </c>
      <c r="C1114" s="15">
        <f>+36709060646</f>
        <v>36709060646</v>
      </c>
      <c r="D1114" s="1">
        <v>1.0</v>
      </c>
      <c r="E1114" s="1">
        <v>2.0</v>
      </c>
      <c r="F1114" s="1">
        <v>21200.0</v>
      </c>
    </row>
    <row r="1115">
      <c r="A1115" s="1" t="s">
        <v>2311</v>
      </c>
      <c r="B1115" s="1" t="s">
        <v>2312</v>
      </c>
      <c r="C1115" s="15">
        <f>+36204182120</f>
        <v>36204182120</v>
      </c>
      <c r="D1115" s="1">
        <v>2.0</v>
      </c>
      <c r="E1115" s="1">
        <v>2.0</v>
      </c>
      <c r="F1115" s="1">
        <v>17900.0</v>
      </c>
    </row>
    <row r="1116">
      <c r="A1116" s="1" t="s">
        <v>2313</v>
      </c>
      <c r="B1116" s="1" t="s">
        <v>2314</v>
      </c>
      <c r="C1116" s="15">
        <f>+36309156178</f>
        <v>36309156178</v>
      </c>
      <c r="D1116" s="1">
        <v>2.0</v>
      </c>
      <c r="E1116" s="1">
        <v>2.0</v>
      </c>
      <c r="F1116" s="1">
        <v>20200.0</v>
      </c>
    </row>
    <row r="1117">
      <c r="A1117" s="1" t="s">
        <v>2315</v>
      </c>
      <c r="B1117" s="1" t="s">
        <v>2316</v>
      </c>
      <c r="C1117" s="15">
        <f>+36303511660</f>
        <v>36303511660</v>
      </c>
      <c r="D1117" s="1">
        <v>2.0</v>
      </c>
      <c r="E1117" s="1">
        <v>2.0</v>
      </c>
      <c r="F1117" s="1">
        <v>17000.0</v>
      </c>
    </row>
    <row r="1118">
      <c r="A1118" s="1" t="s">
        <v>2317</v>
      </c>
      <c r="B1118" s="1" t="s">
        <v>2318</v>
      </c>
      <c r="C1118" s="15">
        <f>+36202039873</f>
        <v>36202039873</v>
      </c>
      <c r="D1118" s="1">
        <v>2.0</v>
      </c>
      <c r="E1118" s="1">
        <v>2.0</v>
      </c>
      <c r="F1118" s="1">
        <v>31900.0</v>
      </c>
    </row>
    <row r="1119">
      <c r="A1119" s="1" t="s">
        <v>2319</v>
      </c>
      <c r="B1119" s="1" t="s">
        <v>2320</v>
      </c>
      <c r="C1119" s="15">
        <f>+381641247774</f>
        <v>381641247774</v>
      </c>
      <c r="D1119" s="1">
        <v>2.0</v>
      </c>
      <c r="E1119" s="1">
        <v>2.0</v>
      </c>
      <c r="F1119" s="1">
        <v>20700.0</v>
      </c>
    </row>
    <row r="1120">
      <c r="A1120" s="1" t="s">
        <v>2321</v>
      </c>
      <c r="B1120" s="1" t="s">
        <v>2322</v>
      </c>
      <c r="C1120" s="15">
        <f>+36309043824</f>
        <v>36309043824</v>
      </c>
      <c r="D1120" s="1">
        <v>2.0</v>
      </c>
      <c r="E1120" s="1">
        <v>2.0</v>
      </c>
      <c r="F1120" s="1">
        <v>15100.0</v>
      </c>
    </row>
    <row r="1121">
      <c r="A1121" s="1" t="s">
        <v>2323</v>
      </c>
      <c r="B1121" s="1" t="s">
        <v>2324</v>
      </c>
      <c r="C1121" s="15">
        <f>+36207761154</f>
        <v>36207761154</v>
      </c>
      <c r="D1121" s="1">
        <v>2.0</v>
      </c>
      <c r="E1121" s="1">
        <v>2.0</v>
      </c>
      <c r="F1121" s="1">
        <v>25200.0</v>
      </c>
    </row>
    <row r="1122">
      <c r="A1122" s="1" t="s">
        <v>2325</v>
      </c>
      <c r="B1122" s="1" t="s">
        <v>2326</v>
      </c>
      <c r="C1122" s="15">
        <f>+36705283123</f>
        <v>36705283123</v>
      </c>
      <c r="D1122" s="1">
        <v>2.0</v>
      </c>
      <c r="E1122" s="1">
        <v>2.0</v>
      </c>
      <c r="F1122" s="1">
        <v>22800.0</v>
      </c>
    </row>
    <row r="1123">
      <c r="A1123" s="1" t="s">
        <v>2327</v>
      </c>
      <c r="B1123" s="1" t="s">
        <v>2328</v>
      </c>
      <c r="C1123" s="15">
        <f>+36306907005</f>
        <v>36306907005</v>
      </c>
      <c r="D1123" s="1">
        <v>2.0</v>
      </c>
      <c r="E1123" s="1">
        <v>2.0</v>
      </c>
      <c r="F1123" s="1">
        <v>21400.0</v>
      </c>
    </row>
    <row r="1124">
      <c r="A1124" s="1" t="s">
        <v>2329</v>
      </c>
      <c r="B1124" s="1" t="s">
        <v>2330</v>
      </c>
      <c r="C1124" s="15">
        <f>+36305516599</f>
        <v>36305516599</v>
      </c>
      <c r="D1124" s="1">
        <v>1.0</v>
      </c>
      <c r="E1124" s="1">
        <v>2.0</v>
      </c>
      <c r="F1124" s="1">
        <v>6600.0</v>
      </c>
    </row>
    <row r="1125">
      <c r="A1125" s="1" t="s">
        <v>2331</v>
      </c>
      <c r="B1125" s="1" t="s">
        <v>2332</v>
      </c>
      <c r="C1125" s="15">
        <f>+36706212613</f>
        <v>36706212613</v>
      </c>
      <c r="D1125" s="1">
        <v>2.0</v>
      </c>
      <c r="E1125" s="1">
        <v>2.0</v>
      </c>
      <c r="F1125" s="1">
        <v>17800.0</v>
      </c>
    </row>
    <row r="1126">
      <c r="A1126" s="1" t="s">
        <v>2333</v>
      </c>
      <c r="B1126" s="1" t="s">
        <v>2334</v>
      </c>
      <c r="C1126" s="15">
        <f>+36705042949</f>
        <v>36705042949</v>
      </c>
      <c r="D1126" s="1">
        <v>2.0</v>
      </c>
      <c r="E1126" s="1">
        <v>2.0</v>
      </c>
      <c r="F1126" s="1">
        <v>17100.0</v>
      </c>
    </row>
    <row r="1127">
      <c r="A1127" s="1" t="s">
        <v>2335</v>
      </c>
      <c r="B1127" s="1" t="s">
        <v>2336</v>
      </c>
      <c r="C1127" s="15">
        <f>+36309906908</f>
        <v>36309906908</v>
      </c>
      <c r="D1127" s="1">
        <v>3.0</v>
      </c>
      <c r="E1127" s="1">
        <v>2.0</v>
      </c>
      <c r="F1127" s="1">
        <v>26200.0</v>
      </c>
    </row>
    <row r="1128">
      <c r="A1128" s="1" t="s">
        <v>2337</v>
      </c>
      <c r="B1128" s="1" t="s">
        <v>2338</v>
      </c>
      <c r="C1128" s="15">
        <f>+36302136501</f>
        <v>36302136501</v>
      </c>
      <c r="D1128" s="1">
        <v>2.0</v>
      </c>
      <c r="E1128" s="1">
        <v>2.0</v>
      </c>
      <c r="F1128" s="1">
        <v>17800.0</v>
      </c>
    </row>
    <row r="1129">
      <c r="A1129" s="1" t="s">
        <v>2339</v>
      </c>
      <c r="B1129" s="1" t="s">
        <v>2340</v>
      </c>
      <c r="C1129" s="15">
        <f>+36203533103</f>
        <v>36203533103</v>
      </c>
      <c r="D1129" s="1">
        <v>2.0</v>
      </c>
      <c r="E1129" s="1">
        <v>2.0</v>
      </c>
      <c r="F1129" s="1">
        <v>13800.0</v>
      </c>
    </row>
    <row r="1130">
      <c r="A1130" s="1" t="s">
        <v>2341</v>
      </c>
      <c r="B1130" s="1" t="s">
        <v>2342</v>
      </c>
      <c r="C1130" s="15">
        <f>+36301617712</f>
        <v>36301617712</v>
      </c>
      <c r="D1130" s="1">
        <v>2.0</v>
      </c>
      <c r="E1130" s="1">
        <v>2.0</v>
      </c>
      <c r="F1130" s="1">
        <v>18600.0</v>
      </c>
    </row>
    <row r="1131">
      <c r="A1131" s="1" t="s">
        <v>2343</v>
      </c>
      <c r="B1131" s="1" t="s">
        <v>2344</v>
      </c>
      <c r="C1131" s="15">
        <f>+36205793130</f>
        <v>36205793130</v>
      </c>
      <c r="D1131" s="1">
        <v>2.0</v>
      </c>
      <c r="E1131" s="1">
        <v>2.0</v>
      </c>
      <c r="F1131" s="1">
        <v>23800.0</v>
      </c>
    </row>
    <row r="1132">
      <c r="A1132" s="1" t="s">
        <v>2345</v>
      </c>
      <c r="B1132" s="1" t="s">
        <v>2346</v>
      </c>
      <c r="C1132" s="15">
        <f>+36308292509</f>
        <v>36308292509</v>
      </c>
      <c r="D1132" s="1">
        <v>2.0</v>
      </c>
      <c r="E1132" s="1">
        <v>2.0</v>
      </c>
      <c r="F1132" s="1">
        <v>21000.0</v>
      </c>
    </row>
    <row r="1133">
      <c r="A1133" s="1" t="s">
        <v>2347</v>
      </c>
      <c r="B1133" s="1" t="s">
        <v>2348</v>
      </c>
      <c r="C1133" s="15">
        <f>+36308212130</f>
        <v>36308212130</v>
      </c>
      <c r="D1133" s="1">
        <v>2.0</v>
      </c>
      <c r="E1133" s="1">
        <v>2.0</v>
      </c>
      <c r="F1133" s="1">
        <v>23700.0</v>
      </c>
    </row>
    <row r="1134">
      <c r="A1134" s="1" t="s">
        <v>2349</v>
      </c>
      <c r="B1134" s="1" t="s">
        <v>2350</v>
      </c>
      <c r="C1134" s="15">
        <f>+36304200708</f>
        <v>36304200708</v>
      </c>
      <c r="D1134" s="1">
        <v>1.0</v>
      </c>
      <c r="E1134" s="1">
        <v>2.0</v>
      </c>
      <c r="F1134" s="1">
        <v>21200.0</v>
      </c>
    </row>
    <row r="1135">
      <c r="A1135" s="1" t="s">
        <v>2351</v>
      </c>
      <c r="B1135" s="1" t="s">
        <v>2352</v>
      </c>
      <c r="C1135" s="15">
        <f>+36702054465</f>
        <v>36702054465</v>
      </c>
      <c r="D1135" s="1">
        <v>2.0</v>
      </c>
      <c r="E1135" s="1">
        <v>2.0</v>
      </c>
      <c r="F1135" s="1">
        <v>15600.0</v>
      </c>
    </row>
    <row r="1136">
      <c r="A1136" s="1" t="s">
        <v>2353</v>
      </c>
      <c r="B1136" s="1" t="s">
        <v>2354</v>
      </c>
      <c r="C1136" s="15">
        <f>+36301311077</f>
        <v>36301311077</v>
      </c>
      <c r="D1136" s="1">
        <v>1.0</v>
      </c>
      <c r="E1136" s="1">
        <v>2.0</v>
      </c>
      <c r="F1136" s="1">
        <v>14000.0</v>
      </c>
    </row>
    <row r="1137">
      <c r="A1137" s="1" t="s">
        <v>2355</v>
      </c>
      <c r="B1137" s="1" t="s">
        <v>2356</v>
      </c>
      <c r="C1137" s="15">
        <f>+36306888316</f>
        <v>36306888316</v>
      </c>
      <c r="D1137" s="1">
        <v>2.0</v>
      </c>
      <c r="E1137" s="1">
        <v>2.0</v>
      </c>
      <c r="F1137" s="1">
        <v>22200.0</v>
      </c>
    </row>
    <row r="1138">
      <c r="A1138" s="1" t="s">
        <v>2357</v>
      </c>
      <c r="B1138" s="1" t="s">
        <v>2358</v>
      </c>
      <c r="C1138" s="15">
        <f>+36203983021</f>
        <v>36203983021</v>
      </c>
      <c r="D1138" s="1">
        <v>2.0</v>
      </c>
      <c r="E1138" s="1">
        <v>2.0</v>
      </c>
      <c r="F1138" s="1">
        <v>21500.0</v>
      </c>
    </row>
    <row r="1139">
      <c r="A1139" s="1" t="s">
        <v>2359</v>
      </c>
      <c r="B1139" s="1" t="s">
        <v>2360</v>
      </c>
      <c r="C1139" s="15">
        <f>+36204794401</f>
        <v>36204794401</v>
      </c>
      <c r="D1139" s="1">
        <v>1.0</v>
      </c>
      <c r="E1139" s="1">
        <v>2.0</v>
      </c>
      <c r="F1139" s="1">
        <v>17800.0</v>
      </c>
    </row>
    <row r="1140">
      <c r="A1140" s="1" t="s">
        <v>2361</v>
      </c>
      <c r="B1140" s="1" t="s">
        <v>2362</v>
      </c>
      <c r="C1140" s="15">
        <f>+36702594949</f>
        <v>36702594949</v>
      </c>
      <c r="D1140" s="1">
        <v>2.0</v>
      </c>
      <c r="E1140" s="1">
        <v>2.0</v>
      </c>
      <c r="F1140" s="1">
        <v>17300.0</v>
      </c>
    </row>
    <row r="1141">
      <c r="A1141" s="1" t="s">
        <v>2363</v>
      </c>
      <c r="B1141" s="1" t="s">
        <v>2364</v>
      </c>
      <c r="C1141" s="15">
        <f>+36307415305</f>
        <v>36307415305</v>
      </c>
      <c r="D1141" s="1">
        <v>2.0</v>
      </c>
      <c r="E1141" s="1">
        <v>2.0</v>
      </c>
      <c r="F1141" s="1">
        <v>17100.0</v>
      </c>
    </row>
    <row r="1142">
      <c r="A1142" s="1" t="s">
        <v>2365</v>
      </c>
      <c r="B1142" s="1" t="s">
        <v>2366</v>
      </c>
      <c r="C1142" s="15">
        <f>+36303389677</f>
        <v>36303389677</v>
      </c>
      <c r="D1142" s="1">
        <v>2.0</v>
      </c>
      <c r="E1142" s="1">
        <v>2.0</v>
      </c>
      <c r="F1142" s="1">
        <v>22000.0</v>
      </c>
    </row>
    <row r="1143">
      <c r="A1143" s="1" t="s">
        <v>2367</v>
      </c>
      <c r="B1143" s="1" t="s">
        <v>2368</v>
      </c>
      <c r="C1143" s="15">
        <f>+36209366265</f>
        <v>36209366265</v>
      </c>
      <c r="D1143" s="1">
        <v>2.0</v>
      </c>
      <c r="E1143" s="1">
        <v>2.0</v>
      </c>
      <c r="F1143" s="1">
        <v>47600.0</v>
      </c>
    </row>
    <row r="1144">
      <c r="A1144" s="1" t="s">
        <v>2369</v>
      </c>
      <c r="B1144" s="1" t="s">
        <v>2370</v>
      </c>
      <c r="C1144" s="15">
        <f>+36309414494</f>
        <v>36309414494</v>
      </c>
      <c r="D1144" s="1">
        <v>2.0</v>
      </c>
      <c r="E1144" s="1">
        <v>2.0</v>
      </c>
      <c r="F1144" s="1">
        <v>21200.0</v>
      </c>
    </row>
    <row r="1145">
      <c r="A1145" s="1" t="s">
        <v>2371</v>
      </c>
      <c r="B1145" s="1" t="s">
        <v>2372</v>
      </c>
      <c r="C1145" s="15">
        <f>+36306215465</f>
        <v>36306215465</v>
      </c>
      <c r="D1145" s="1">
        <v>2.0</v>
      </c>
      <c r="E1145" s="1">
        <v>2.0</v>
      </c>
      <c r="F1145" s="1">
        <v>21600.0</v>
      </c>
    </row>
    <row r="1146">
      <c r="A1146" s="1" t="s">
        <v>2373</v>
      </c>
      <c r="B1146" s="1" t="s">
        <v>2374</v>
      </c>
      <c r="C1146" s="15">
        <f>+36205752842</f>
        <v>36205752842</v>
      </c>
      <c r="D1146" s="1">
        <v>1.0</v>
      </c>
      <c r="E1146" s="1">
        <v>2.0</v>
      </c>
      <c r="F1146" s="1">
        <v>18000.0</v>
      </c>
    </row>
    <row r="1147">
      <c r="A1147" s="1" t="s">
        <v>2375</v>
      </c>
      <c r="B1147" s="1" t="s">
        <v>2376</v>
      </c>
      <c r="C1147" s="15">
        <f>+491733453672</f>
        <v>491733453672</v>
      </c>
      <c r="D1147" s="1">
        <v>4.0</v>
      </c>
      <c r="E1147" s="1">
        <v>2.0</v>
      </c>
      <c r="F1147" s="1">
        <v>29900.0</v>
      </c>
    </row>
    <row r="1148">
      <c r="A1148" s="1" t="s">
        <v>2377</v>
      </c>
      <c r="B1148" s="1" t="s">
        <v>2378</v>
      </c>
      <c r="C1148" s="15">
        <f>+36707843148</f>
        <v>36707843148</v>
      </c>
      <c r="D1148" s="1">
        <v>2.0</v>
      </c>
      <c r="E1148" s="1">
        <v>2.0</v>
      </c>
      <c r="F1148" s="1">
        <v>37500.0</v>
      </c>
    </row>
    <row r="1149">
      <c r="A1149" s="1" t="s">
        <v>2379</v>
      </c>
      <c r="B1149" s="1" t="s">
        <v>2380</v>
      </c>
      <c r="C1149" s="15">
        <f>+36203921325</f>
        <v>36203921325</v>
      </c>
      <c r="D1149" s="1">
        <v>2.0</v>
      </c>
      <c r="E1149" s="1">
        <v>2.0</v>
      </c>
      <c r="F1149" s="1">
        <v>14200.0</v>
      </c>
    </row>
    <row r="1150">
      <c r="A1150" s="1" t="s">
        <v>2381</v>
      </c>
      <c r="B1150" s="1" t="s">
        <v>2382</v>
      </c>
      <c r="C1150" s="15">
        <f>+36306370248</f>
        <v>36306370248</v>
      </c>
      <c r="D1150" s="1">
        <v>2.0</v>
      </c>
      <c r="E1150" s="1">
        <v>2.0</v>
      </c>
      <c r="F1150" s="1">
        <v>15100.0</v>
      </c>
    </row>
    <row r="1151">
      <c r="A1151" s="1" t="s">
        <v>2383</v>
      </c>
      <c r="B1151" s="1" t="s">
        <v>2384</v>
      </c>
      <c r="C1151" s="15">
        <f>+36307247867</f>
        <v>36307247867</v>
      </c>
      <c r="D1151" s="1">
        <v>2.0</v>
      </c>
      <c r="E1151" s="1">
        <v>2.0</v>
      </c>
      <c r="F1151" s="1">
        <v>19600.0</v>
      </c>
    </row>
    <row r="1152">
      <c r="A1152" s="1" t="s">
        <v>2385</v>
      </c>
      <c r="B1152" s="1" t="s">
        <v>2386</v>
      </c>
      <c r="C1152" s="15">
        <f>+36204576910</f>
        <v>36204576910</v>
      </c>
      <c r="D1152" s="1">
        <v>1.0</v>
      </c>
      <c r="E1152" s="1">
        <v>2.0</v>
      </c>
      <c r="F1152" s="1">
        <v>19600.0</v>
      </c>
    </row>
    <row r="1153">
      <c r="A1153" s="1" t="s">
        <v>2387</v>
      </c>
      <c r="B1153" s="1" t="s">
        <v>2388</v>
      </c>
      <c r="C1153" s="15">
        <f>+36706798999</f>
        <v>36706798999</v>
      </c>
      <c r="D1153" s="1">
        <v>2.0</v>
      </c>
      <c r="E1153" s="1">
        <v>2.0</v>
      </c>
      <c r="F1153" s="1">
        <v>20100.0</v>
      </c>
    </row>
    <row r="1154">
      <c r="A1154" s="1" t="s">
        <v>2389</v>
      </c>
      <c r="B1154" s="1" t="s">
        <v>2390</v>
      </c>
      <c r="C1154" s="15">
        <f>+36305001195</f>
        <v>36305001195</v>
      </c>
      <c r="D1154" s="1">
        <v>2.0</v>
      </c>
      <c r="E1154" s="1">
        <v>2.0</v>
      </c>
      <c r="F1154" s="1">
        <v>16200.0</v>
      </c>
    </row>
    <row r="1155">
      <c r="A1155" s="1" t="s">
        <v>2391</v>
      </c>
      <c r="B1155" s="1" t="s">
        <v>2392</v>
      </c>
      <c r="C1155" s="15">
        <f>+36203654294</f>
        <v>36203654294</v>
      </c>
      <c r="D1155" s="1">
        <v>2.0</v>
      </c>
      <c r="E1155" s="1">
        <v>2.0</v>
      </c>
      <c r="F1155" s="1">
        <v>17800.0</v>
      </c>
    </row>
    <row r="1156">
      <c r="A1156" s="1" t="s">
        <v>2393</v>
      </c>
      <c r="B1156" s="1" t="s">
        <v>2394</v>
      </c>
      <c r="C1156" s="15">
        <f>+36706213669</f>
        <v>36706213669</v>
      </c>
      <c r="D1156" s="1">
        <v>3.0</v>
      </c>
      <c r="E1156" s="1">
        <v>2.0</v>
      </c>
      <c r="F1156" s="1">
        <v>25400.0</v>
      </c>
    </row>
    <row r="1157">
      <c r="A1157" s="1" t="s">
        <v>2395</v>
      </c>
      <c r="B1157" s="1" t="s">
        <v>2396</v>
      </c>
      <c r="C1157" s="15">
        <f>+36202250469</f>
        <v>36202250469</v>
      </c>
      <c r="D1157" s="1">
        <v>2.0</v>
      </c>
      <c r="E1157" s="1">
        <v>2.0</v>
      </c>
      <c r="F1157" s="1">
        <v>17600.0</v>
      </c>
    </row>
    <row r="1158">
      <c r="A1158" s="1" t="s">
        <v>2397</v>
      </c>
      <c r="B1158" s="1" t="s">
        <v>2398</v>
      </c>
      <c r="C1158" s="15">
        <f>+36705305189</f>
        <v>36705305189</v>
      </c>
      <c r="D1158" s="1">
        <v>2.0</v>
      </c>
      <c r="E1158" s="1">
        <v>2.0</v>
      </c>
      <c r="F1158" s="1">
        <v>17600.0</v>
      </c>
    </row>
    <row r="1159">
      <c r="A1159" s="1" t="s">
        <v>2399</v>
      </c>
      <c r="B1159" s="1" t="s">
        <v>2400</v>
      </c>
      <c r="C1159" s="15">
        <f>+36309834085</f>
        <v>36309834085</v>
      </c>
      <c r="D1159" s="1">
        <v>3.0</v>
      </c>
      <c r="E1159" s="1">
        <v>2.0</v>
      </c>
      <c r="F1159" s="1">
        <v>28000.0</v>
      </c>
    </row>
    <row r="1160">
      <c r="A1160" s="1" t="s">
        <v>2401</v>
      </c>
      <c r="B1160" s="1" t="s">
        <v>2402</v>
      </c>
      <c r="C1160" s="15">
        <f>+36705659783</f>
        <v>36705659783</v>
      </c>
      <c r="D1160" s="1">
        <v>2.0</v>
      </c>
      <c r="E1160" s="1">
        <v>2.0</v>
      </c>
      <c r="F1160" s="1">
        <v>20200.0</v>
      </c>
    </row>
    <row r="1161">
      <c r="A1161" s="1" t="s">
        <v>2403</v>
      </c>
      <c r="B1161" s="1" t="s">
        <v>2404</v>
      </c>
      <c r="C1161" s="15">
        <f>+36302097368</f>
        <v>36302097368</v>
      </c>
      <c r="D1161" s="1">
        <v>2.0</v>
      </c>
      <c r="E1161" s="1">
        <v>2.0</v>
      </c>
      <c r="F1161" s="1">
        <v>22600.0</v>
      </c>
    </row>
    <row r="1162">
      <c r="A1162" s="1" t="s">
        <v>2405</v>
      </c>
      <c r="B1162" s="1" t="s">
        <v>2406</v>
      </c>
      <c r="C1162" s="15">
        <f>+36305130212</f>
        <v>36305130212</v>
      </c>
      <c r="D1162" s="1">
        <v>2.0</v>
      </c>
      <c r="E1162" s="1">
        <v>2.0</v>
      </c>
      <c r="F1162" s="1">
        <v>17800.0</v>
      </c>
    </row>
    <row r="1163">
      <c r="A1163" s="1" t="s">
        <v>2407</v>
      </c>
      <c r="B1163" s="1" t="s">
        <v>2408</v>
      </c>
      <c r="C1163" s="15">
        <f>+36302537748</f>
        <v>36302537748</v>
      </c>
      <c r="D1163" s="1">
        <v>1.0</v>
      </c>
      <c r="E1163" s="1">
        <v>2.0</v>
      </c>
      <c r="F1163" s="1">
        <v>26000.0</v>
      </c>
    </row>
    <row r="1164">
      <c r="A1164" s="1" t="s">
        <v>2409</v>
      </c>
      <c r="B1164" s="1" t="s">
        <v>2410</v>
      </c>
      <c r="C1164" s="15">
        <f>+36309150544</f>
        <v>36309150544</v>
      </c>
      <c r="D1164" s="1">
        <v>2.0</v>
      </c>
      <c r="E1164" s="1">
        <v>2.0</v>
      </c>
      <c r="F1164" s="1">
        <v>22300.0</v>
      </c>
    </row>
    <row r="1165">
      <c r="A1165" s="1" t="s">
        <v>2411</v>
      </c>
      <c r="B1165" s="1" t="s">
        <v>2412</v>
      </c>
      <c r="C1165" s="15">
        <f>+36302643812</f>
        <v>36302643812</v>
      </c>
      <c r="D1165" s="1">
        <v>2.0</v>
      </c>
      <c r="E1165" s="1">
        <v>2.0</v>
      </c>
      <c r="F1165" s="1">
        <v>21100.0</v>
      </c>
    </row>
    <row r="1166">
      <c r="A1166" s="1" t="s">
        <v>2413</v>
      </c>
      <c r="B1166" s="1" t="s">
        <v>2414</v>
      </c>
      <c r="C1166" s="15">
        <f>+36704297593</f>
        <v>36704297593</v>
      </c>
      <c r="D1166" s="1">
        <v>3.0</v>
      </c>
      <c r="E1166" s="1">
        <v>2.0</v>
      </c>
      <c r="F1166" s="1">
        <v>28900.0</v>
      </c>
    </row>
    <row r="1167">
      <c r="A1167" s="1" t="s">
        <v>2415</v>
      </c>
      <c r="B1167" s="1" t="s">
        <v>2416</v>
      </c>
      <c r="C1167" s="15">
        <f>+36702868309</f>
        <v>36702868309</v>
      </c>
      <c r="D1167" s="1">
        <v>2.0</v>
      </c>
      <c r="E1167" s="1">
        <v>2.0</v>
      </c>
      <c r="F1167" s="1">
        <v>23600.0</v>
      </c>
    </row>
    <row r="1168">
      <c r="A1168" s="1" t="s">
        <v>2417</v>
      </c>
      <c r="B1168" s="1" t="s">
        <v>2418</v>
      </c>
      <c r="C1168" s="15">
        <f>+36209606688</f>
        <v>36209606688</v>
      </c>
      <c r="D1168" s="1">
        <v>1.0</v>
      </c>
      <c r="E1168" s="1">
        <v>2.0</v>
      </c>
      <c r="F1168" s="1">
        <v>26000.0</v>
      </c>
    </row>
    <row r="1169">
      <c r="A1169" s="1" t="s">
        <v>2419</v>
      </c>
      <c r="B1169" s="1" t="s">
        <v>2420</v>
      </c>
      <c r="C1169" s="15">
        <f>+380951815043</f>
        <v>380951815043</v>
      </c>
      <c r="D1169" s="1">
        <v>1.0</v>
      </c>
      <c r="E1169" s="1">
        <v>2.0</v>
      </c>
      <c r="F1169" s="1">
        <v>26000.0</v>
      </c>
    </row>
    <row r="1170">
      <c r="A1170" s="1" t="s">
        <v>2421</v>
      </c>
      <c r="B1170" s="1" t="s">
        <v>2422</v>
      </c>
      <c r="C1170" s="15">
        <f>+36707769708</f>
        <v>36707769708</v>
      </c>
      <c r="D1170" s="1">
        <v>2.0</v>
      </c>
      <c r="E1170" s="1">
        <v>2.0</v>
      </c>
      <c r="F1170" s="1">
        <v>34100.0</v>
      </c>
    </row>
    <row r="1171">
      <c r="A1171" s="1" t="s">
        <v>2423</v>
      </c>
      <c r="B1171" s="1" t="s">
        <v>2424</v>
      </c>
      <c r="C1171" s="15">
        <f>+36203165330</f>
        <v>36203165330</v>
      </c>
      <c r="D1171" s="1">
        <v>4.0</v>
      </c>
      <c r="E1171" s="1">
        <v>2.0</v>
      </c>
      <c r="F1171" s="1">
        <v>42700.0</v>
      </c>
    </row>
    <row r="1172">
      <c r="A1172" s="1" t="s">
        <v>2425</v>
      </c>
      <c r="B1172" s="1" t="s">
        <v>2426</v>
      </c>
      <c r="C1172" s="15">
        <f>+36309390671</f>
        <v>36309390671</v>
      </c>
      <c r="D1172" s="1">
        <v>2.0</v>
      </c>
      <c r="E1172" s="1">
        <v>2.0</v>
      </c>
      <c r="F1172" s="1">
        <v>23000.0</v>
      </c>
    </row>
    <row r="1173">
      <c r="A1173" s="1" t="s">
        <v>2427</v>
      </c>
      <c r="B1173" s="1" t="s">
        <v>2428</v>
      </c>
      <c r="C1173" s="15">
        <f>+36306815615</f>
        <v>36306815615</v>
      </c>
      <c r="D1173" s="1">
        <v>1.0</v>
      </c>
      <c r="E1173" s="1">
        <v>2.0</v>
      </c>
      <c r="F1173" s="1">
        <v>26000.0</v>
      </c>
    </row>
    <row r="1174">
      <c r="A1174" s="1" t="s">
        <v>2429</v>
      </c>
      <c r="B1174" s="1" t="s">
        <v>2430</v>
      </c>
      <c r="C1174" s="15">
        <f>+36301940502</f>
        <v>36301940502</v>
      </c>
      <c r="D1174" s="1">
        <v>2.0</v>
      </c>
      <c r="E1174" s="1">
        <v>2.0</v>
      </c>
      <c r="F1174" s="1">
        <v>18800.0</v>
      </c>
    </row>
    <row r="1175">
      <c r="A1175" s="1" t="s">
        <v>2431</v>
      </c>
      <c r="B1175" s="1" t="s">
        <v>2432</v>
      </c>
      <c r="C1175" s="15">
        <f>+36707739176</f>
        <v>36707739176</v>
      </c>
      <c r="D1175" s="1">
        <v>2.0</v>
      </c>
      <c r="E1175" s="1">
        <v>2.0</v>
      </c>
      <c r="F1175" s="1">
        <v>27000.0</v>
      </c>
    </row>
    <row r="1176">
      <c r="A1176" s="1" t="s">
        <v>2433</v>
      </c>
      <c r="B1176" s="1" t="s">
        <v>2434</v>
      </c>
      <c r="C1176" s="15">
        <f>+36703067008</f>
        <v>36703067008</v>
      </c>
      <c r="D1176" s="1">
        <v>2.0</v>
      </c>
      <c r="E1176" s="1">
        <v>2.0</v>
      </c>
      <c r="F1176" s="1">
        <v>12800.0</v>
      </c>
    </row>
    <row r="1177">
      <c r="A1177" s="1" t="s">
        <v>2435</v>
      </c>
      <c r="B1177" s="1" t="s">
        <v>2436</v>
      </c>
      <c r="C1177" s="15">
        <f>+36309329920</f>
        <v>36309329920</v>
      </c>
      <c r="D1177" s="1">
        <v>4.0</v>
      </c>
      <c r="E1177" s="1">
        <v>2.0</v>
      </c>
      <c r="F1177" s="1">
        <v>41500.0</v>
      </c>
    </row>
    <row r="1178">
      <c r="A1178" s="1" t="s">
        <v>2437</v>
      </c>
      <c r="B1178" s="1" t="s">
        <v>2438</v>
      </c>
      <c r="C1178" s="15">
        <f>+36209147767</f>
        <v>36209147767</v>
      </c>
      <c r="D1178" s="1">
        <v>2.0</v>
      </c>
      <c r="E1178" s="1">
        <v>2.0</v>
      </c>
      <c r="F1178" s="1">
        <v>24900.0</v>
      </c>
    </row>
    <row r="1179">
      <c r="A1179" s="1" t="s">
        <v>2439</v>
      </c>
      <c r="B1179" s="1" t="s">
        <v>2440</v>
      </c>
      <c r="C1179" s="15">
        <f>+36703420640</f>
        <v>36703420640</v>
      </c>
      <c r="D1179" s="1">
        <v>2.0</v>
      </c>
      <c r="E1179" s="1">
        <v>2.0</v>
      </c>
      <c r="F1179" s="1">
        <v>16200.0</v>
      </c>
    </row>
    <row r="1180">
      <c r="A1180" s="1" t="s">
        <v>2441</v>
      </c>
      <c r="B1180" s="1" t="s">
        <v>2442</v>
      </c>
      <c r="C1180" s="15">
        <f>+40755054357</f>
        <v>40755054357</v>
      </c>
      <c r="D1180" s="1">
        <v>2.0</v>
      </c>
      <c r="E1180" s="1">
        <v>2.0</v>
      </c>
      <c r="F1180" s="1">
        <v>15200.0</v>
      </c>
    </row>
    <row r="1181">
      <c r="A1181" s="1" t="s">
        <v>2443</v>
      </c>
      <c r="B1181" s="1" t="s">
        <v>2444</v>
      </c>
      <c r="C1181" s="15">
        <f>+36302882520</f>
        <v>36302882520</v>
      </c>
      <c r="D1181" s="1">
        <v>2.0</v>
      </c>
      <c r="E1181" s="1">
        <v>2.0</v>
      </c>
      <c r="F1181" s="1">
        <v>20600.0</v>
      </c>
    </row>
    <row r="1182">
      <c r="A1182" s="1" t="s">
        <v>2445</v>
      </c>
      <c r="B1182" s="1" t="s">
        <v>2446</v>
      </c>
      <c r="C1182" s="15">
        <f>+36309040268</f>
        <v>36309040268</v>
      </c>
      <c r="D1182" s="1">
        <v>2.0</v>
      </c>
      <c r="E1182" s="1">
        <v>2.0</v>
      </c>
      <c r="F1182" s="1">
        <v>14700.0</v>
      </c>
    </row>
    <row r="1183">
      <c r="A1183" s="1" t="s">
        <v>2447</v>
      </c>
      <c r="B1183" s="1" t="s">
        <v>2448</v>
      </c>
      <c r="C1183" s="15">
        <f>+36303976569</f>
        <v>36303976569</v>
      </c>
      <c r="D1183" s="1">
        <v>2.0</v>
      </c>
      <c r="E1183" s="1">
        <v>2.0</v>
      </c>
      <c r="F1183" s="1">
        <v>22800.0</v>
      </c>
    </row>
    <row r="1184">
      <c r="A1184" s="1" t="s">
        <v>2449</v>
      </c>
      <c r="B1184" s="1" t="s">
        <v>2450</v>
      </c>
      <c r="C1184" s="15">
        <f>+36205792690</f>
        <v>36205792690</v>
      </c>
      <c r="D1184" s="1">
        <v>2.0</v>
      </c>
      <c r="E1184" s="1">
        <v>2.0</v>
      </c>
      <c r="F1184" s="1">
        <v>22200.0</v>
      </c>
    </row>
    <row r="1185">
      <c r="A1185" s="1" t="s">
        <v>2451</v>
      </c>
      <c r="B1185" s="1" t="s">
        <v>2452</v>
      </c>
      <c r="C1185" s="15">
        <f>+36209825766</f>
        <v>36209825766</v>
      </c>
      <c r="D1185" s="1">
        <v>2.0</v>
      </c>
      <c r="E1185" s="1">
        <v>2.0</v>
      </c>
      <c r="F1185" s="1">
        <v>25500.0</v>
      </c>
    </row>
    <row r="1186">
      <c r="A1186" s="1" t="s">
        <v>2453</v>
      </c>
      <c r="B1186" s="1" t="s">
        <v>2454</v>
      </c>
      <c r="C1186" s="15">
        <f>+36302437446</f>
        <v>36302437446</v>
      </c>
      <c r="D1186" s="1">
        <v>2.0</v>
      </c>
      <c r="E1186" s="1">
        <v>2.0</v>
      </c>
      <c r="F1186" s="1">
        <v>23100.0</v>
      </c>
    </row>
    <row r="1187">
      <c r="A1187" s="1" t="s">
        <v>2455</v>
      </c>
      <c r="B1187" s="1" t="s">
        <v>2456</v>
      </c>
      <c r="C1187" s="15">
        <f>+36704337742</f>
        <v>36704337742</v>
      </c>
      <c r="D1187" s="1">
        <v>2.0</v>
      </c>
      <c r="E1187" s="1">
        <v>2.0</v>
      </c>
      <c r="F1187" s="1">
        <v>17000.0</v>
      </c>
    </row>
    <row r="1188">
      <c r="A1188" s="1" t="s">
        <v>2457</v>
      </c>
      <c r="B1188" s="1" t="s">
        <v>2458</v>
      </c>
      <c r="C1188" s="15">
        <f>+36304090316</f>
        <v>36304090316</v>
      </c>
      <c r="D1188" s="1">
        <v>2.0</v>
      </c>
      <c r="E1188" s="1">
        <v>2.0</v>
      </c>
      <c r="F1188" s="1">
        <v>17700.0</v>
      </c>
    </row>
    <row r="1189">
      <c r="A1189" s="1" t="s">
        <v>2459</v>
      </c>
      <c r="B1189" s="1" t="s">
        <v>2460</v>
      </c>
      <c r="C1189" s="15">
        <f>+36302882215</f>
        <v>36302882215</v>
      </c>
      <c r="D1189" s="1">
        <v>2.0</v>
      </c>
      <c r="E1189" s="1">
        <v>2.0</v>
      </c>
      <c r="F1189" s="1">
        <v>19900.0</v>
      </c>
    </row>
    <row r="1190">
      <c r="A1190" s="1" t="s">
        <v>2461</v>
      </c>
      <c r="B1190" s="1" t="s">
        <v>2462</v>
      </c>
      <c r="C1190" s="15">
        <f>+36203477310</f>
        <v>36203477310</v>
      </c>
      <c r="D1190" s="1">
        <v>2.0</v>
      </c>
      <c r="E1190" s="1">
        <v>2.0</v>
      </c>
      <c r="F1190" s="1">
        <v>21300.0</v>
      </c>
    </row>
    <row r="1191">
      <c r="A1191" s="1" t="s">
        <v>2463</v>
      </c>
      <c r="B1191" s="1" t="s">
        <v>2464</v>
      </c>
      <c r="C1191" s="15">
        <f>+36205781355</f>
        <v>36205781355</v>
      </c>
      <c r="D1191" s="1">
        <v>1.0</v>
      </c>
      <c r="E1191" s="1">
        <v>2.0</v>
      </c>
      <c r="F1191" s="1">
        <v>16000.0</v>
      </c>
    </row>
    <row r="1192">
      <c r="A1192" s="1" t="s">
        <v>2465</v>
      </c>
      <c r="B1192" s="1" t="s">
        <v>2466</v>
      </c>
      <c r="C1192" s="15">
        <f>+36709484799</f>
        <v>36709484799</v>
      </c>
      <c r="D1192" s="1">
        <v>2.0</v>
      </c>
      <c r="E1192" s="1">
        <v>2.0</v>
      </c>
      <c r="F1192" s="1">
        <v>18500.0</v>
      </c>
    </row>
    <row r="1193">
      <c r="A1193" s="1" t="s">
        <v>2467</v>
      </c>
      <c r="B1193" s="1" t="s">
        <v>2468</v>
      </c>
      <c r="C1193" s="15">
        <f>+36305208016</f>
        <v>36305208016</v>
      </c>
      <c r="D1193" s="1">
        <v>2.0</v>
      </c>
      <c r="E1193" s="1">
        <v>2.0</v>
      </c>
      <c r="F1193" s="1">
        <v>18300.0</v>
      </c>
    </row>
    <row r="1194">
      <c r="A1194" s="1" t="s">
        <v>2469</v>
      </c>
      <c r="B1194" s="1" t="s">
        <v>2470</v>
      </c>
      <c r="C1194" s="15">
        <f>+36209155223</f>
        <v>36209155223</v>
      </c>
      <c r="D1194" s="1">
        <v>2.0</v>
      </c>
      <c r="E1194" s="1">
        <v>2.0</v>
      </c>
      <c r="F1194" s="1">
        <v>19700.0</v>
      </c>
    </row>
    <row r="1195">
      <c r="A1195" s="1" t="s">
        <v>2471</v>
      </c>
      <c r="B1195" s="1" t="s">
        <v>2472</v>
      </c>
      <c r="C1195" s="15">
        <f>+36303496987</f>
        <v>36303496987</v>
      </c>
      <c r="D1195" s="1">
        <v>2.0</v>
      </c>
      <c r="E1195" s="1">
        <v>2.0</v>
      </c>
      <c r="F1195" s="1">
        <v>18500.0</v>
      </c>
    </row>
    <row r="1196">
      <c r="A1196" s="1" t="s">
        <v>2473</v>
      </c>
      <c r="B1196" s="1" t="s">
        <v>2474</v>
      </c>
      <c r="C1196" s="15">
        <f>+36703735190</f>
        <v>36703735190</v>
      </c>
      <c r="D1196" s="1">
        <v>3.0</v>
      </c>
      <c r="E1196" s="1">
        <v>2.0</v>
      </c>
      <c r="F1196" s="1">
        <v>18300.0</v>
      </c>
    </row>
    <row r="1197">
      <c r="A1197" s="1" t="s">
        <v>2475</v>
      </c>
      <c r="B1197" s="1" t="s">
        <v>2476</v>
      </c>
      <c r="C1197" s="15">
        <f>+36305280258</f>
        <v>36305280258</v>
      </c>
      <c r="D1197" s="1">
        <v>2.0</v>
      </c>
      <c r="E1197" s="1">
        <v>2.0</v>
      </c>
      <c r="F1197" s="1">
        <v>38400.0</v>
      </c>
    </row>
    <row r="1198">
      <c r="A1198" s="1" t="s">
        <v>2477</v>
      </c>
      <c r="B1198" s="1" t="s">
        <v>2478</v>
      </c>
      <c r="C1198" s="15">
        <f>+36206235203</f>
        <v>36206235203</v>
      </c>
      <c r="D1198" s="1">
        <v>2.0</v>
      </c>
      <c r="E1198" s="1">
        <v>2.0</v>
      </c>
      <c r="F1198" s="1">
        <v>18600.0</v>
      </c>
    </row>
    <row r="1199">
      <c r="A1199" s="1" t="s">
        <v>2479</v>
      </c>
      <c r="B1199" s="1" t="s">
        <v>2480</v>
      </c>
      <c r="C1199" s="15">
        <f>+36302519372</f>
        <v>36302519372</v>
      </c>
      <c r="D1199" s="1">
        <v>2.0</v>
      </c>
      <c r="E1199" s="1">
        <v>2.0</v>
      </c>
      <c r="F1199" s="1">
        <v>35900.0</v>
      </c>
    </row>
    <row r="1200">
      <c r="A1200" s="1" t="s">
        <v>2481</v>
      </c>
      <c r="B1200" s="1" t="s">
        <v>2482</v>
      </c>
      <c r="C1200" s="15">
        <f>+36305682384</f>
        <v>36305682384</v>
      </c>
      <c r="D1200" s="1">
        <v>1.0</v>
      </c>
      <c r="E1200" s="1">
        <v>2.0</v>
      </c>
      <c r="F1200" s="1">
        <v>21000.0</v>
      </c>
    </row>
    <row r="1201">
      <c r="A1201" s="1" t="s">
        <v>2483</v>
      </c>
      <c r="B1201" s="1" t="s">
        <v>2484</v>
      </c>
      <c r="C1201" s="15">
        <f>+36706650000</f>
        <v>36706650000</v>
      </c>
      <c r="D1201" s="1">
        <v>3.0</v>
      </c>
      <c r="E1201" s="1">
        <v>2.0</v>
      </c>
      <c r="F1201" s="1">
        <v>23500.0</v>
      </c>
    </row>
    <row r="1202">
      <c r="A1202" s="1" t="s">
        <v>2485</v>
      </c>
      <c r="B1202" s="1" t="s">
        <v>2486</v>
      </c>
      <c r="C1202" s="15">
        <f>+36704287220</f>
        <v>36704287220</v>
      </c>
      <c r="D1202" s="1">
        <v>1.0</v>
      </c>
      <c r="E1202" s="1">
        <v>2.0</v>
      </c>
      <c r="F1202" s="1">
        <v>14000.0</v>
      </c>
    </row>
    <row r="1203">
      <c r="A1203" s="1" t="s">
        <v>2487</v>
      </c>
      <c r="B1203" s="1" t="s">
        <v>2488</v>
      </c>
      <c r="C1203" s="15">
        <f>+36205077305</f>
        <v>36205077305</v>
      </c>
      <c r="D1203" s="1">
        <v>2.0</v>
      </c>
      <c r="E1203" s="1">
        <v>2.0</v>
      </c>
      <c r="F1203" s="1">
        <v>16100.0</v>
      </c>
    </row>
    <row r="1204">
      <c r="A1204" s="1" t="s">
        <v>2489</v>
      </c>
      <c r="B1204" s="1" t="s">
        <v>2490</v>
      </c>
      <c r="C1204" s="15">
        <f>+36303326082</f>
        <v>36303326082</v>
      </c>
      <c r="D1204" s="1">
        <v>4.0</v>
      </c>
      <c r="E1204" s="1">
        <v>2.0</v>
      </c>
      <c r="F1204" s="1">
        <v>20200.0</v>
      </c>
    </row>
    <row r="1205">
      <c r="A1205" s="1" t="s">
        <v>2491</v>
      </c>
      <c r="B1205" s="1" t="s">
        <v>2492</v>
      </c>
      <c r="C1205" s="15">
        <f>+36301481820</f>
        <v>36301481820</v>
      </c>
      <c r="D1205" s="1">
        <v>2.0</v>
      </c>
      <c r="E1205" s="1">
        <v>2.0</v>
      </c>
      <c r="F1205" s="1">
        <v>14200.0</v>
      </c>
    </row>
    <row r="1206">
      <c r="A1206" s="1" t="s">
        <v>2493</v>
      </c>
      <c r="B1206" s="1" t="s">
        <v>2494</v>
      </c>
      <c r="C1206" s="15">
        <f>+36302584323</f>
        <v>36302584323</v>
      </c>
      <c r="D1206" s="1">
        <v>1.0</v>
      </c>
      <c r="E1206" s="1">
        <v>2.0</v>
      </c>
      <c r="F1206" s="1">
        <v>23400.0</v>
      </c>
    </row>
    <row r="1207">
      <c r="A1207" s="1" t="s">
        <v>2495</v>
      </c>
      <c r="B1207" s="1" t="s">
        <v>2496</v>
      </c>
      <c r="C1207" s="15">
        <f>+36304836957</f>
        <v>36304836957</v>
      </c>
      <c r="D1207" s="1">
        <v>2.0</v>
      </c>
      <c r="E1207" s="1">
        <v>2.0</v>
      </c>
      <c r="F1207" s="1">
        <v>21700.0</v>
      </c>
    </row>
    <row r="1208">
      <c r="A1208" s="1" t="s">
        <v>2497</v>
      </c>
      <c r="B1208" s="1" t="s">
        <v>2498</v>
      </c>
      <c r="C1208" s="15">
        <f>+36204462350</f>
        <v>36204462350</v>
      </c>
      <c r="D1208" s="1">
        <v>2.0</v>
      </c>
      <c r="E1208" s="1">
        <v>2.0</v>
      </c>
      <c r="F1208" s="1">
        <v>19700.0</v>
      </c>
    </row>
    <row r="1209">
      <c r="A1209" s="1" t="s">
        <v>2499</v>
      </c>
      <c r="B1209" s="1" t="s">
        <v>2500</v>
      </c>
      <c r="C1209" s="15">
        <f>+36309874089</f>
        <v>36309874089</v>
      </c>
      <c r="D1209" s="1">
        <v>1.0</v>
      </c>
      <c r="E1209" s="1">
        <v>2.0</v>
      </c>
      <c r="F1209" s="1">
        <v>26000.0</v>
      </c>
    </row>
    <row r="1210">
      <c r="A1210" s="1" t="s">
        <v>2501</v>
      </c>
      <c r="B1210" s="1" t="s">
        <v>2502</v>
      </c>
      <c r="C1210" s="15">
        <f>+36302894681</f>
        <v>36302894681</v>
      </c>
      <c r="D1210" s="1">
        <v>2.0</v>
      </c>
      <c r="E1210" s="1">
        <v>2.0</v>
      </c>
      <c r="F1210" s="1">
        <v>21900.0</v>
      </c>
    </row>
    <row r="1211">
      <c r="A1211" s="1" t="s">
        <v>2503</v>
      </c>
      <c r="B1211" s="1" t="s">
        <v>2504</v>
      </c>
      <c r="C1211" s="15">
        <f>+36306339234</f>
        <v>36306339234</v>
      </c>
      <c r="D1211" s="1">
        <v>2.0</v>
      </c>
      <c r="E1211" s="1">
        <v>2.0</v>
      </c>
      <c r="F1211" s="1">
        <v>20600.0</v>
      </c>
    </row>
    <row r="1212">
      <c r="A1212" s="1" t="s">
        <v>2505</v>
      </c>
      <c r="B1212" s="1" t="s">
        <v>2506</v>
      </c>
      <c r="C1212" s="15">
        <f>+36309847146</f>
        <v>36309847146</v>
      </c>
      <c r="D1212" s="1">
        <v>2.0</v>
      </c>
      <c r="E1212" s="1">
        <v>2.0</v>
      </c>
      <c r="F1212" s="1">
        <v>19300.0</v>
      </c>
    </row>
    <row r="1213">
      <c r="A1213" s="1" t="s">
        <v>2507</v>
      </c>
      <c r="B1213" s="1" t="s">
        <v>2508</v>
      </c>
      <c r="C1213" s="15">
        <f>+36304608276</f>
        <v>36304608276</v>
      </c>
      <c r="D1213" s="1">
        <v>3.0</v>
      </c>
      <c r="E1213" s="1">
        <v>2.0</v>
      </c>
      <c r="F1213" s="1">
        <v>18800.0</v>
      </c>
    </row>
    <row r="1214">
      <c r="A1214" s="1" t="s">
        <v>2509</v>
      </c>
      <c r="B1214" s="1" t="s">
        <v>2510</v>
      </c>
      <c r="C1214" s="15">
        <f>+36703380966</f>
        <v>36703380966</v>
      </c>
      <c r="D1214" s="1">
        <v>1.0</v>
      </c>
      <c r="E1214" s="1">
        <v>2.0</v>
      </c>
      <c r="F1214" s="1">
        <v>21200.0</v>
      </c>
    </row>
    <row r="1215">
      <c r="A1215" s="1" t="s">
        <v>2511</v>
      </c>
      <c r="B1215" s="1" t="s">
        <v>2512</v>
      </c>
      <c r="C1215" s="15">
        <f>+36703021693</f>
        <v>36703021693</v>
      </c>
      <c r="D1215" s="1">
        <v>2.0</v>
      </c>
      <c r="E1215" s="1">
        <v>2.0</v>
      </c>
      <c r="F1215" s="1">
        <v>17700.0</v>
      </c>
    </row>
    <row r="1216">
      <c r="A1216" s="1" t="s">
        <v>2513</v>
      </c>
      <c r="B1216" s="1" t="s">
        <v>2514</v>
      </c>
      <c r="C1216" s="15">
        <f>+36706299006</f>
        <v>36706299006</v>
      </c>
      <c r="D1216" s="1">
        <v>2.0</v>
      </c>
      <c r="E1216" s="1">
        <v>2.0</v>
      </c>
      <c r="F1216" s="1">
        <v>23100.0</v>
      </c>
    </row>
    <row r="1217">
      <c r="A1217" s="1" t="s">
        <v>2515</v>
      </c>
      <c r="B1217" s="1" t="s">
        <v>2516</v>
      </c>
      <c r="C1217" s="15">
        <f>+36203937297</f>
        <v>36203937297</v>
      </c>
      <c r="D1217" s="1">
        <v>2.0</v>
      </c>
      <c r="E1217" s="1">
        <v>2.0</v>
      </c>
      <c r="F1217" s="1">
        <v>17000.0</v>
      </c>
    </row>
    <row r="1218">
      <c r="A1218" s="1" t="s">
        <v>2517</v>
      </c>
      <c r="B1218" s="1" t="s">
        <v>2518</v>
      </c>
      <c r="C1218" s="15">
        <f>+36703970200</f>
        <v>36703970200</v>
      </c>
      <c r="D1218" s="1">
        <v>2.0</v>
      </c>
      <c r="E1218" s="1">
        <v>2.0</v>
      </c>
      <c r="F1218" s="1">
        <v>24700.0</v>
      </c>
    </row>
    <row r="1219">
      <c r="A1219" s="1" t="s">
        <v>2519</v>
      </c>
      <c r="B1219" s="1" t="s">
        <v>2520</v>
      </c>
      <c r="C1219" s="15">
        <f>+36706389412</f>
        <v>36706389412</v>
      </c>
      <c r="D1219" s="1">
        <v>2.0</v>
      </c>
      <c r="E1219" s="1">
        <v>2.0</v>
      </c>
      <c r="F1219" s="1">
        <v>26500.0</v>
      </c>
    </row>
    <row r="1220">
      <c r="A1220" s="1" t="s">
        <v>2521</v>
      </c>
      <c r="B1220" s="1" t="s">
        <v>2522</v>
      </c>
      <c r="C1220" s="15">
        <f>+36207739298</f>
        <v>36207739298</v>
      </c>
      <c r="D1220" s="1">
        <v>2.0</v>
      </c>
      <c r="E1220" s="1">
        <v>2.0</v>
      </c>
      <c r="F1220" s="1">
        <v>16900.0</v>
      </c>
    </row>
    <row r="1221">
      <c r="A1221" s="1" t="s">
        <v>2523</v>
      </c>
      <c r="B1221" s="1" t="s">
        <v>2524</v>
      </c>
      <c r="C1221" s="15">
        <f>+36709475090</f>
        <v>36709475090</v>
      </c>
      <c r="D1221" s="1">
        <v>5.0</v>
      </c>
      <c r="E1221" s="1">
        <v>2.0</v>
      </c>
      <c r="F1221" s="1">
        <v>20100.0</v>
      </c>
    </row>
    <row r="1222">
      <c r="A1222" s="1" t="s">
        <v>2525</v>
      </c>
      <c r="B1222" s="1" t="s">
        <v>2526</v>
      </c>
      <c r="C1222" s="15">
        <f>+36309545751</f>
        <v>36309545751</v>
      </c>
      <c r="D1222" s="1">
        <v>3.0</v>
      </c>
      <c r="E1222" s="1">
        <v>2.0</v>
      </c>
      <c r="F1222" s="1">
        <v>15300.0</v>
      </c>
    </row>
    <row r="1223">
      <c r="A1223" s="1" t="s">
        <v>2527</v>
      </c>
      <c r="B1223" s="1" t="s">
        <v>2528</v>
      </c>
      <c r="C1223" s="15">
        <f>+36202515669</f>
        <v>36202515669</v>
      </c>
      <c r="D1223" s="1">
        <v>2.0</v>
      </c>
      <c r="E1223" s="1">
        <v>2.0</v>
      </c>
      <c r="F1223" s="1">
        <v>33000.0</v>
      </c>
    </row>
    <row r="1224">
      <c r="A1224" s="1" t="s">
        <v>2529</v>
      </c>
      <c r="B1224" s="1" t="s">
        <v>2530</v>
      </c>
      <c r="C1224" s="15">
        <f>+36207759237</f>
        <v>36207759237</v>
      </c>
      <c r="D1224" s="1">
        <v>2.0</v>
      </c>
      <c r="E1224" s="1">
        <v>2.0</v>
      </c>
      <c r="F1224" s="1">
        <v>16100.0</v>
      </c>
    </row>
    <row r="1225">
      <c r="A1225" s="1" t="s">
        <v>2531</v>
      </c>
      <c r="B1225" s="1" t="s">
        <v>2532</v>
      </c>
      <c r="C1225" s="15">
        <f>+36307053993</f>
        <v>36307053993</v>
      </c>
      <c r="D1225" s="1">
        <v>2.0</v>
      </c>
      <c r="E1225" s="1">
        <v>2.0</v>
      </c>
      <c r="F1225" s="1">
        <v>18600.0</v>
      </c>
    </row>
    <row r="1226">
      <c r="A1226" s="1" t="s">
        <v>2533</v>
      </c>
      <c r="B1226" s="1" t="s">
        <v>2534</v>
      </c>
      <c r="C1226" s="15">
        <f>+36707704854</f>
        <v>36707704854</v>
      </c>
      <c r="D1226" s="1">
        <v>1.0</v>
      </c>
      <c r="E1226" s="1">
        <v>2.0</v>
      </c>
      <c r="F1226" s="1">
        <v>44800.0</v>
      </c>
    </row>
    <row r="1227">
      <c r="A1227" s="1" t="s">
        <v>2535</v>
      </c>
      <c r="B1227" s="1" t="s">
        <v>2536</v>
      </c>
      <c r="C1227" s="15">
        <f>+36204236105</f>
        <v>36204236105</v>
      </c>
      <c r="D1227" s="1">
        <v>2.0</v>
      </c>
      <c r="E1227" s="1">
        <v>2.0</v>
      </c>
      <c r="F1227" s="1">
        <v>16000.0</v>
      </c>
    </row>
    <row r="1228">
      <c r="A1228" s="1" t="s">
        <v>2537</v>
      </c>
      <c r="B1228" s="1" t="s">
        <v>2538</v>
      </c>
      <c r="C1228" s="15">
        <f>+36205112860</f>
        <v>36205112860</v>
      </c>
      <c r="D1228" s="1">
        <v>2.0</v>
      </c>
      <c r="E1228" s="1">
        <v>2.0</v>
      </c>
      <c r="F1228" s="1">
        <v>13400.0</v>
      </c>
    </row>
    <row r="1229">
      <c r="A1229" s="1" t="s">
        <v>2539</v>
      </c>
      <c r="B1229" s="1" t="s">
        <v>2540</v>
      </c>
      <c r="C1229" s="15">
        <f>+36204544841</f>
        <v>36204544841</v>
      </c>
      <c r="D1229" s="1">
        <v>2.0</v>
      </c>
      <c r="E1229" s="1">
        <v>2.0</v>
      </c>
      <c r="F1229" s="1">
        <v>17800.0</v>
      </c>
    </row>
    <row r="1230">
      <c r="A1230" s="1" t="s">
        <v>2541</v>
      </c>
      <c r="B1230" s="1" t="s">
        <v>2542</v>
      </c>
      <c r="C1230" s="15">
        <f>+36307761225</f>
        <v>36307761225</v>
      </c>
      <c r="D1230" s="1">
        <v>2.0</v>
      </c>
      <c r="E1230" s="1">
        <v>2.0</v>
      </c>
      <c r="F1230" s="1">
        <v>17800.0</v>
      </c>
    </row>
    <row r="1231">
      <c r="A1231" s="1" t="s">
        <v>2543</v>
      </c>
      <c r="B1231" s="1" t="s">
        <v>2544</v>
      </c>
      <c r="C1231" s="15">
        <f>+36202288222</f>
        <v>36202288222</v>
      </c>
      <c r="D1231" s="1">
        <v>1.0</v>
      </c>
      <c r="E1231" s="1">
        <v>2.0</v>
      </c>
      <c r="F1231" s="1">
        <v>23600.0</v>
      </c>
    </row>
    <row r="1232">
      <c r="A1232" s="1" t="s">
        <v>2545</v>
      </c>
      <c r="B1232" s="1" t="s">
        <v>2546</v>
      </c>
      <c r="C1232" s="15">
        <f>+36307139442</f>
        <v>36307139442</v>
      </c>
      <c r="D1232" s="1">
        <v>2.0</v>
      </c>
      <c r="E1232" s="1">
        <v>2.0</v>
      </c>
      <c r="F1232" s="1">
        <v>22300.0</v>
      </c>
    </row>
    <row r="1233">
      <c r="A1233" s="1" t="s">
        <v>2547</v>
      </c>
      <c r="B1233" s="1" t="s">
        <v>2548</v>
      </c>
      <c r="C1233" s="15">
        <f>+36309773963</f>
        <v>36309773963</v>
      </c>
      <c r="D1233" s="1">
        <v>2.0</v>
      </c>
      <c r="E1233" s="1">
        <v>2.0</v>
      </c>
      <c r="F1233" s="1">
        <v>21400.0</v>
      </c>
    </row>
    <row r="1234">
      <c r="A1234" s="1" t="s">
        <v>2549</v>
      </c>
      <c r="B1234" s="1" t="s">
        <v>2550</v>
      </c>
      <c r="C1234" s="15">
        <f>+36301566270</f>
        <v>36301566270</v>
      </c>
      <c r="D1234" s="1">
        <v>2.0</v>
      </c>
      <c r="E1234" s="1">
        <v>2.0</v>
      </c>
      <c r="F1234" s="1">
        <v>17000.0</v>
      </c>
    </row>
    <row r="1235">
      <c r="A1235" s="1" t="s">
        <v>2551</v>
      </c>
      <c r="B1235" s="1" t="s">
        <v>2552</v>
      </c>
      <c r="C1235" s="15">
        <f>+36304993081</f>
        <v>36304993081</v>
      </c>
      <c r="D1235" s="1">
        <v>2.0</v>
      </c>
      <c r="E1235" s="1">
        <v>2.0</v>
      </c>
      <c r="F1235" s="1">
        <v>32000.0</v>
      </c>
    </row>
    <row r="1236">
      <c r="A1236" s="1" t="s">
        <v>2553</v>
      </c>
      <c r="B1236" s="1" t="s">
        <v>2554</v>
      </c>
      <c r="C1236" s="15">
        <f>+36309638439</f>
        <v>36309638439</v>
      </c>
      <c r="D1236" s="1">
        <v>2.0</v>
      </c>
      <c r="E1236" s="1">
        <v>2.0</v>
      </c>
      <c r="F1236" s="1">
        <v>21800.0</v>
      </c>
    </row>
    <row r="1237">
      <c r="A1237" s="1" t="s">
        <v>2555</v>
      </c>
      <c r="B1237" s="1" t="s">
        <v>2556</v>
      </c>
      <c r="C1237" s="15">
        <f>+36304770168</f>
        <v>36304770168</v>
      </c>
      <c r="D1237" s="1">
        <v>1.0</v>
      </c>
      <c r="E1237" s="1">
        <v>2.0</v>
      </c>
      <c r="F1237" s="1">
        <v>18000.0</v>
      </c>
    </row>
    <row r="1238">
      <c r="A1238" s="1" t="s">
        <v>2557</v>
      </c>
      <c r="B1238" s="1" t="s">
        <v>2558</v>
      </c>
      <c r="C1238" s="15">
        <f>+36305815250</f>
        <v>36305815250</v>
      </c>
      <c r="D1238" s="1">
        <v>2.0</v>
      </c>
      <c r="E1238" s="1">
        <v>2.0</v>
      </c>
      <c r="F1238" s="1">
        <v>24000.0</v>
      </c>
    </row>
    <row r="1239">
      <c r="A1239" s="1" t="s">
        <v>2559</v>
      </c>
      <c r="B1239" s="1" t="s">
        <v>2560</v>
      </c>
      <c r="C1239" s="15">
        <f>+36202958669</f>
        <v>36202958669</v>
      </c>
      <c r="D1239" s="1">
        <v>2.0</v>
      </c>
      <c r="E1239" s="1">
        <v>2.0</v>
      </c>
      <c r="F1239" s="1">
        <v>16400.0</v>
      </c>
    </row>
    <row r="1240">
      <c r="A1240" s="1" t="s">
        <v>2561</v>
      </c>
      <c r="B1240" s="1" t="s">
        <v>2562</v>
      </c>
      <c r="C1240" s="15">
        <f>+36303845033</f>
        <v>36303845033</v>
      </c>
      <c r="D1240" s="1">
        <v>1.0</v>
      </c>
      <c r="E1240" s="1">
        <v>2.0</v>
      </c>
      <c r="F1240" s="1">
        <v>18000.0</v>
      </c>
    </row>
    <row r="1241">
      <c r="A1241" s="1" t="s">
        <v>2563</v>
      </c>
      <c r="B1241" s="1" t="s">
        <v>2564</v>
      </c>
      <c r="C1241" s="15">
        <f>+36703126265</f>
        <v>36703126265</v>
      </c>
      <c r="D1241" s="1">
        <v>2.0</v>
      </c>
      <c r="E1241" s="1">
        <v>2.0</v>
      </c>
      <c r="F1241" s="1">
        <v>16900.0</v>
      </c>
    </row>
    <row r="1242">
      <c r="A1242" s="1" t="s">
        <v>2565</v>
      </c>
      <c r="B1242" s="1" t="s">
        <v>2566</v>
      </c>
      <c r="C1242" s="15">
        <f>+36309789383</f>
        <v>36309789383</v>
      </c>
      <c r="D1242" s="1">
        <v>4.0</v>
      </c>
      <c r="E1242" s="1">
        <v>2.0</v>
      </c>
      <c r="F1242" s="1">
        <v>59800.0</v>
      </c>
    </row>
    <row r="1243">
      <c r="A1243" s="1" t="s">
        <v>2567</v>
      </c>
      <c r="B1243" s="1" t="s">
        <v>2568</v>
      </c>
      <c r="C1243" s="15">
        <f>+36202542642</f>
        <v>36202542642</v>
      </c>
      <c r="D1243" s="1">
        <v>1.0</v>
      </c>
      <c r="E1243" s="1">
        <v>2.0</v>
      </c>
      <c r="F1243" s="1">
        <v>26000.0</v>
      </c>
    </row>
    <row r="1244">
      <c r="A1244" s="1" t="s">
        <v>2569</v>
      </c>
      <c r="B1244" s="1" t="s">
        <v>2570</v>
      </c>
      <c r="C1244" s="15">
        <f>+36204175260</f>
        <v>36204175260</v>
      </c>
      <c r="D1244" s="1">
        <v>2.0</v>
      </c>
      <c r="E1244" s="1">
        <v>2.0</v>
      </c>
      <c r="F1244" s="1">
        <v>24700.0</v>
      </c>
    </row>
    <row r="1245">
      <c r="A1245" s="1" t="s">
        <v>2571</v>
      </c>
      <c r="B1245" s="1" t="s">
        <v>2572</v>
      </c>
      <c r="C1245" s="15">
        <f>+36303456349</f>
        <v>36303456349</v>
      </c>
      <c r="D1245" s="1">
        <v>1.0</v>
      </c>
      <c r="E1245" s="1">
        <v>2.0</v>
      </c>
      <c r="F1245" s="1">
        <v>21200.0</v>
      </c>
    </row>
    <row r="1246">
      <c r="A1246" s="1" t="s">
        <v>2573</v>
      </c>
      <c r="B1246" s="1" t="s">
        <v>2574</v>
      </c>
      <c r="C1246" s="15">
        <f>+36303856783</f>
        <v>36303856783</v>
      </c>
      <c r="D1246" s="1">
        <v>2.0</v>
      </c>
      <c r="E1246" s="1">
        <v>2.0</v>
      </c>
      <c r="F1246" s="1">
        <v>25100.0</v>
      </c>
    </row>
    <row r="1247">
      <c r="A1247" s="1" t="s">
        <v>2575</v>
      </c>
      <c r="B1247" s="1" t="s">
        <v>2576</v>
      </c>
      <c r="C1247" s="15">
        <f>+36308253481</f>
        <v>36308253481</v>
      </c>
      <c r="D1247" s="1">
        <v>3.0</v>
      </c>
      <c r="E1247" s="1">
        <v>2.0</v>
      </c>
      <c r="F1247" s="1">
        <v>26900.0</v>
      </c>
    </row>
    <row r="1248">
      <c r="A1248" s="1" t="s">
        <v>2577</v>
      </c>
      <c r="B1248" s="1" t="s">
        <v>2578</v>
      </c>
      <c r="C1248" s="15">
        <f>+36205756034</f>
        <v>36205756034</v>
      </c>
      <c r="D1248" s="1">
        <v>3.0</v>
      </c>
      <c r="E1248" s="1">
        <v>2.0</v>
      </c>
      <c r="F1248" s="1">
        <v>16100.0</v>
      </c>
    </row>
    <row r="1249">
      <c r="A1249" s="1" t="s">
        <v>2579</v>
      </c>
      <c r="B1249" s="1" t="s">
        <v>2580</v>
      </c>
      <c r="C1249" s="15">
        <f>+36305966614</f>
        <v>36305966614</v>
      </c>
      <c r="D1249" s="1">
        <v>1.0</v>
      </c>
      <c r="E1249" s="1">
        <v>2.0</v>
      </c>
      <c r="F1249" s="1">
        <v>19600.0</v>
      </c>
    </row>
    <row r="1250">
      <c r="A1250" s="1" t="s">
        <v>2581</v>
      </c>
      <c r="B1250" s="1" t="s">
        <v>2582</v>
      </c>
      <c r="C1250" s="15">
        <f>+36306258194</f>
        <v>36306258194</v>
      </c>
      <c r="D1250" s="1">
        <v>2.0</v>
      </c>
      <c r="E1250" s="1">
        <v>2.0</v>
      </c>
      <c r="F1250" s="1">
        <v>20300.0</v>
      </c>
    </row>
    <row r="1251">
      <c r="A1251" s="1" t="s">
        <v>2583</v>
      </c>
      <c r="B1251" s="1" t="s">
        <v>2584</v>
      </c>
      <c r="C1251" s="15">
        <f>+36705117800</f>
        <v>36705117800</v>
      </c>
      <c r="D1251" s="1">
        <v>2.0</v>
      </c>
      <c r="E1251" s="1">
        <v>2.0</v>
      </c>
      <c r="F1251" s="1">
        <v>22200.0</v>
      </c>
    </row>
    <row r="1252">
      <c r="A1252" s="1" t="s">
        <v>2585</v>
      </c>
      <c r="B1252" s="1" t="s">
        <v>2586</v>
      </c>
      <c r="C1252" s="15">
        <f>+36204442710</f>
        <v>36204442710</v>
      </c>
      <c r="D1252" s="1">
        <v>2.0</v>
      </c>
      <c r="E1252" s="1">
        <v>2.0</v>
      </c>
      <c r="F1252" s="1">
        <v>17800.0</v>
      </c>
    </row>
    <row r="1253">
      <c r="A1253" s="1" t="s">
        <v>2587</v>
      </c>
      <c r="B1253" s="1" t="s">
        <v>2588</v>
      </c>
      <c r="C1253" s="15">
        <f>+36308859655</f>
        <v>36308859655</v>
      </c>
      <c r="D1253" s="1">
        <v>2.0</v>
      </c>
      <c r="E1253" s="1">
        <v>2.0</v>
      </c>
      <c r="F1253" s="1">
        <v>14300.0</v>
      </c>
    </row>
    <row r="1254">
      <c r="A1254" s="1" t="s">
        <v>2589</v>
      </c>
      <c r="B1254" s="1" t="s">
        <v>2590</v>
      </c>
      <c r="C1254" s="15">
        <f>+36307588272</f>
        <v>36307588272</v>
      </c>
      <c r="D1254" s="1">
        <v>2.0</v>
      </c>
      <c r="E1254" s="1">
        <v>2.0</v>
      </c>
      <c r="F1254" s="1">
        <v>25800.0</v>
      </c>
    </row>
    <row r="1255">
      <c r="A1255" s="1" t="s">
        <v>2591</v>
      </c>
      <c r="B1255" s="1" t="s">
        <v>2592</v>
      </c>
      <c r="C1255" s="15">
        <f>+36302677400</f>
        <v>36302677400</v>
      </c>
      <c r="D1255" s="1">
        <v>1.0</v>
      </c>
      <c r="E1255" s="1">
        <v>2.0</v>
      </c>
      <c r="F1255" s="1">
        <v>18000.0</v>
      </c>
    </row>
    <row r="1256">
      <c r="A1256" s="1" t="s">
        <v>2593</v>
      </c>
      <c r="B1256" s="1" t="s">
        <v>2594</v>
      </c>
      <c r="C1256" s="15">
        <f>+36306289905</f>
        <v>36306289905</v>
      </c>
      <c r="D1256" s="1">
        <v>1.0</v>
      </c>
      <c r="E1256" s="1">
        <v>2.0</v>
      </c>
      <c r="F1256" s="1">
        <v>26000.0</v>
      </c>
    </row>
    <row r="1257">
      <c r="A1257" s="1" t="s">
        <v>2595</v>
      </c>
      <c r="B1257" s="1" t="s">
        <v>2596</v>
      </c>
      <c r="C1257" s="15">
        <f>+36704247288</f>
        <v>36704247288</v>
      </c>
      <c r="D1257" s="1">
        <v>2.0</v>
      </c>
      <c r="E1257" s="1">
        <v>2.0</v>
      </c>
      <c r="F1257" s="1">
        <v>22300.0</v>
      </c>
    </row>
    <row r="1258">
      <c r="A1258" s="1" t="s">
        <v>2597</v>
      </c>
      <c r="B1258" s="1" t="s">
        <v>2598</v>
      </c>
      <c r="C1258" s="15">
        <f>+36204016570</f>
        <v>36204016570</v>
      </c>
      <c r="D1258" s="1">
        <v>2.0</v>
      </c>
      <c r="E1258" s="1">
        <v>2.0</v>
      </c>
      <c r="F1258" s="1">
        <v>15300.0</v>
      </c>
    </row>
    <row r="1259">
      <c r="A1259" s="1" t="s">
        <v>2599</v>
      </c>
      <c r="B1259" s="1" t="s">
        <v>2600</v>
      </c>
      <c r="C1259" s="15">
        <f>+36302740343</f>
        <v>36302740343</v>
      </c>
      <c r="D1259" s="1">
        <v>2.0</v>
      </c>
      <c r="E1259" s="1">
        <v>2.0</v>
      </c>
      <c r="F1259" s="1">
        <v>23400.0</v>
      </c>
    </row>
    <row r="1260">
      <c r="A1260" s="1" t="s">
        <v>2601</v>
      </c>
      <c r="B1260" s="1" t="s">
        <v>2602</v>
      </c>
      <c r="C1260" s="15">
        <f>+36304279742</f>
        <v>36304279742</v>
      </c>
      <c r="D1260" s="1">
        <v>2.0</v>
      </c>
      <c r="E1260" s="1">
        <v>2.0</v>
      </c>
      <c r="F1260" s="1">
        <v>21600.0</v>
      </c>
    </row>
    <row r="1261">
      <c r="A1261" s="1" t="s">
        <v>2603</v>
      </c>
      <c r="B1261" s="1" t="s">
        <v>2604</v>
      </c>
      <c r="C1261" s="15">
        <f>+36703399500</f>
        <v>36703399500</v>
      </c>
      <c r="D1261" s="1">
        <v>2.0</v>
      </c>
      <c r="E1261" s="1">
        <v>2.0</v>
      </c>
      <c r="F1261" s="1">
        <v>19400.0</v>
      </c>
    </row>
    <row r="1262">
      <c r="A1262" s="1" t="s">
        <v>2605</v>
      </c>
      <c r="B1262" s="1" t="s">
        <v>2606</v>
      </c>
      <c r="C1262" s="15">
        <f>+36305560756</f>
        <v>36305560756</v>
      </c>
      <c r="D1262" s="1">
        <v>2.0</v>
      </c>
      <c r="E1262" s="1">
        <v>2.0</v>
      </c>
      <c r="F1262" s="1">
        <v>18600.0</v>
      </c>
    </row>
    <row r="1263">
      <c r="A1263" s="1" t="s">
        <v>2607</v>
      </c>
      <c r="B1263" s="1" t="s">
        <v>2608</v>
      </c>
      <c r="C1263" s="15">
        <f>+36202169390</f>
        <v>36202169390</v>
      </c>
      <c r="D1263" s="1">
        <v>2.0</v>
      </c>
      <c r="E1263" s="1">
        <v>2.0</v>
      </c>
      <c r="F1263" s="1">
        <v>23300.0</v>
      </c>
    </row>
    <row r="1264">
      <c r="A1264" s="1" t="s">
        <v>2609</v>
      </c>
      <c r="B1264" s="1" t="s">
        <v>2610</v>
      </c>
      <c r="C1264" s="15">
        <f>+36309788217</f>
        <v>36309788217</v>
      </c>
      <c r="D1264" s="1">
        <v>2.0</v>
      </c>
      <c r="E1264" s="1">
        <v>2.0</v>
      </c>
      <c r="F1264" s="1">
        <v>22000.0</v>
      </c>
    </row>
    <row r="1265">
      <c r="A1265" s="1" t="s">
        <v>2611</v>
      </c>
      <c r="B1265" s="1" t="s">
        <v>2612</v>
      </c>
      <c r="C1265" s="15">
        <f>+36308741090</f>
        <v>36308741090</v>
      </c>
      <c r="D1265" s="1">
        <v>2.0</v>
      </c>
      <c r="E1265" s="1">
        <v>2.0</v>
      </c>
      <c r="F1265" s="1">
        <v>24300.0</v>
      </c>
    </row>
    <row r="1266">
      <c r="A1266" s="1" t="s">
        <v>2613</v>
      </c>
      <c r="B1266" s="1" t="s">
        <v>2614</v>
      </c>
      <c r="C1266" s="15">
        <f>+40746967390</f>
        <v>40746967390</v>
      </c>
      <c r="D1266" s="1">
        <v>1.0</v>
      </c>
      <c r="E1266" s="1">
        <v>2.0</v>
      </c>
      <c r="F1266" s="1">
        <v>40600.0</v>
      </c>
    </row>
    <row r="1267">
      <c r="A1267" s="1" t="s">
        <v>2615</v>
      </c>
      <c r="B1267" s="1" t="s">
        <v>2616</v>
      </c>
      <c r="C1267" s="15">
        <f>+36303486058</f>
        <v>36303486058</v>
      </c>
      <c r="D1267" s="1">
        <v>2.0</v>
      </c>
      <c r="E1267" s="1">
        <v>2.0</v>
      </c>
      <c r="F1267" s="1">
        <v>17800.0</v>
      </c>
    </row>
    <row r="1268">
      <c r="A1268" s="1" t="s">
        <v>2617</v>
      </c>
      <c r="B1268" s="1" t="s">
        <v>2618</v>
      </c>
      <c r="C1268" s="15">
        <f>+36302590738</f>
        <v>36302590738</v>
      </c>
      <c r="D1268" s="1">
        <v>2.0</v>
      </c>
      <c r="E1268" s="1">
        <v>2.0</v>
      </c>
      <c r="F1268" s="1">
        <v>17600.0</v>
      </c>
    </row>
    <row r="1269">
      <c r="A1269" s="1" t="s">
        <v>2619</v>
      </c>
      <c r="B1269" s="1" t="s">
        <v>2620</v>
      </c>
      <c r="C1269" s="15">
        <f>+421950803193</f>
        <v>421950803193</v>
      </c>
      <c r="D1269" s="1">
        <v>1.0</v>
      </c>
      <c r="E1269" s="1">
        <v>2.0</v>
      </c>
      <c r="F1269" s="1">
        <v>27600.0</v>
      </c>
    </row>
    <row r="1270">
      <c r="A1270" s="1" t="s">
        <v>2621</v>
      </c>
      <c r="B1270" s="1" t="s">
        <v>2622</v>
      </c>
      <c r="C1270" s="15">
        <f>+36307161529</f>
        <v>36307161529</v>
      </c>
      <c r="D1270" s="1">
        <v>2.0</v>
      </c>
      <c r="E1270" s="1">
        <v>2.0</v>
      </c>
      <c r="F1270" s="1">
        <v>17700.0</v>
      </c>
    </row>
    <row r="1271">
      <c r="A1271" s="1" t="s">
        <v>2623</v>
      </c>
      <c r="B1271" s="1" t="s">
        <v>2624</v>
      </c>
      <c r="C1271" s="15">
        <f>+36303084884</f>
        <v>36303084884</v>
      </c>
      <c r="D1271" s="1">
        <v>3.0</v>
      </c>
      <c r="E1271" s="1">
        <v>2.0</v>
      </c>
      <c r="F1271" s="1">
        <v>40000.0</v>
      </c>
    </row>
    <row r="1272">
      <c r="A1272" s="1" t="s">
        <v>2625</v>
      </c>
      <c r="B1272" s="1" t="s">
        <v>2626</v>
      </c>
      <c r="C1272" s="15">
        <f>+36308387228</f>
        <v>36308387228</v>
      </c>
      <c r="D1272" s="1">
        <v>3.0</v>
      </c>
      <c r="E1272" s="1">
        <v>2.0</v>
      </c>
      <c r="F1272" s="1">
        <v>44600.0</v>
      </c>
    </row>
    <row r="1273">
      <c r="A1273" s="1" t="s">
        <v>2627</v>
      </c>
      <c r="B1273" s="1" t="s">
        <v>2628</v>
      </c>
      <c r="C1273" s="15">
        <f>+36305452560</f>
        <v>36305452560</v>
      </c>
      <c r="D1273" s="1">
        <v>1.0</v>
      </c>
      <c r="E1273" s="1">
        <v>2.0</v>
      </c>
      <c r="F1273" s="1">
        <v>23400.0</v>
      </c>
    </row>
    <row r="1274">
      <c r="A1274" s="1" t="s">
        <v>2629</v>
      </c>
      <c r="B1274" s="1" t="s">
        <v>2630</v>
      </c>
      <c r="C1274" s="15">
        <f>+36706006780</f>
        <v>36706006780</v>
      </c>
      <c r="D1274" s="1">
        <v>5.0</v>
      </c>
      <c r="E1274" s="1">
        <v>2.0</v>
      </c>
      <c r="F1274" s="1">
        <v>21100.0</v>
      </c>
    </row>
    <row r="1275">
      <c r="A1275" s="1" t="s">
        <v>2631</v>
      </c>
      <c r="B1275" s="1" t="s">
        <v>2632</v>
      </c>
      <c r="C1275" s="15">
        <f>+36202546400</f>
        <v>36202546400</v>
      </c>
      <c r="D1275" s="1">
        <v>2.0</v>
      </c>
      <c r="E1275" s="1">
        <v>2.0</v>
      </c>
      <c r="F1275" s="1">
        <v>17500.0</v>
      </c>
    </row>
    <row r="1276">
      <c r="A1276" s="1" t="s">
        <v>2633</v>
      </c>
      <c r="B1276" s="1" t="s">
        <v>2634</v>
      </c>
      <c r="C1276" s="15">
        <f>+36706045201</f>
        <v>36706045201</v>
      </c>
      <c r="D1276" s="1">
        <v>2.0</v>
      </c>
      <c r="E1276" s="1">
        <v>2.0</v>
      </c>
      <c r="F1276" s="1">
        <v>14700.0</v>
      </c>
    </row>
    <row r="1277">
      <c r="A1277" s="1" t="s">
        <v>2635</v>
      </c>
      <c r="B1277" s="1" t="s">
        <v>2636</v>
      </c>
      <c r="C1277" s="15">
        <f>+36707920309</f>
        <v>36707920309</v>
      </c>
      <c r="D1277" s="1">
        <v>2.0</v>
      </c>
      <c r="E1277" s="1">
        <v>2.0</v>
      </c>
      <c r="F1277" s="1">
        <v>30000.0</v>
      </c>
    </row>
    <row r="1278">
      <c r="A1278" s="1" t="s">
        <v>2637</v>
      </c>
      <c r="B1278" s="1" t="s">
        <v>2638</v>
      </c>
      <c r="C1278" s="15">
        <f>+36309610612</f>
        <v>36309610612</v>
      </c>
      <c r="D1278" s="1">
        <v>2.0</v>
      </c>
      <c r="E1278" s="1">
        <v>2.0</v>
      </c>
      <c r="F1278" s="1">
        <v>22200.0</v>
      </c>
    </row>
    <row r="1279">
      <c r="A1279" s="1" t="s">
        <v>2639</v>
      </c>
      <c r="B1279" s="1" t="s">
        <v>2640</v>
      </c>
      <c r="C1279" s="15">
        <f>+40744981154</f>
        <v>40744981154</v>
      </c>
      <c r="D1279" s="1">
        <v>2.0</v>
      </c>
      <c r="E1279" s="1">
        <v>2.0</v>
      </c>
      <c r="F1279" s="1">
        <v>26000.0</v>
      </c>
    </row>
    <row r="1280">
      <c r="A1280" s="1" t="s">
        <v>2641</v>
      </c>
      <c r="B1280" s="1" t="s">
        <v>2642</v>
      </c>
      <c r="C1280" s="15">
        <f>+36308319473</f>
        <v>36308319473</v>
      </c>
      <c r="D1280" s="1">
        <v>2.0</v>
      </c>
      <c r="E1280" s="1">
        <v>2.0</v>
      </c>
      <c r="F1280" s="1">
        <v>17500.0</v>
      </c>
    </row>
    <row r="1281">
      <c r="A1281" s="1" t="s">
        <v>2643</v>
      </c>
      <c r="B1281" s="1" t="s">
        <v>2644</v>
      </c>
      <c r="C1281" s="15">
        <f>+36702415170</f>
        <v>36702415170</v>
      </c>
      <c r="D1281" s="1">
        <v>2.0</v>
      </c>
      <c r="E1281" s="1">
        <v>2.0</v>
      </c>
      <c r="F1281" s="1">
        <v>16900.0</v>
      </c>
    </row>
    <row r="1282">
      <c r="A1282" s="1" t="s">
        <v>2645</v>
      </c>
      <c r="B1282" s="1" t="s">
        <v>2646</v>
      </c>
      <c r="C1282" s="15">
        <f>+36203686188</f>
        <v>36203686188</v>
      </c>
      <c r="D1282" s="1">
        <v>2.0</v>
      </c>
      <c r="E1282" s="1">
        <v>2.0</v>
      </c>
      <c r="F1282" s="1">
        <v>17900.0</v>
      </c>
    </row>
    <row r="1283">
      <c r="A1283" s="1" t="s">
        <v>2647</v>
      </c>
      <c r="B1283" s="1" t="s">
        <v>2648</v>
      </c>
      <c r="C1283" s="15">
        <f>+36308320806</f>
        <v>36308320806</v>
      </c>
      <c r="D1283" s="1">
        <v>2.0</v>
      </c>
      <c r="E1283" s="1">
        <v>2.0</v>
      </c>
      <c r="F1283" s="1">
        <v>19600.0</v>
      </c>
    </row>
    <row r="1284">
      <c r="A1284" s="1" t="s">
        <v>2649</v>
      </c>
      <c r="B1284" s="1" t="s">
        <v>2650</v>
      </c>
      <c r="C1284" s="15">
        <f>+36209808646</f>
        <v>36209808646</v>
      </c>
      <c r="D1284" s="1">
        <v>1.0</v>
      </c>
      <c r="E1284" s="1">
        <v>2.0</v>
      </c>
      <c r="F1284" s="1">
        <v>16000.0</v>
      </c>
    </row>
    <row r="1285">
      <c r="A1285" s="1" t="s">
        <v>2651</v>
      </c>
      <c r="B1285" s="1" t="s">
        <v>2652</v>
      </c>
      <c r="C1285" s="15">
        <f>+36709458018</f>
        <v>36709458018</v>
      </c>
      <c r="D1285" s="1">
        <v>2.0</v>
      </c>
      <c r="E1285" s="1">
        <v>2.0</v>
      </c>
      <c r="F1285" s="1">
        <v>25200.0</v>
      </c>
    </row>
    <row r="1286">
      <c r="A1286" s="1" t="s">
        <v>2653</v>
      </c>
      <c r="B1286" s="1" t="s">
        <v>2654</v>
      </c>
      <c r="C1286" s="15">
        <f>+36202492020</f>
        <v>36202492020</v>
      </c>
      <c r="D1286" s="1">
        <v>1.0</v>
      </c>
      <c r="E1286" s="1">
        <v>2.0</v>
      </c>
      <c r="F1286" s="1">
        <v>18000.0</v>
      </c>
    </row>
    <row r="1287">
      <c r="A1287" s="1" t="s">
        <v>2655</v>
      </c>
      <c r="B1287" s="1" t="s">
        <v>2656</v>
      </c>
      <c r="C1287" s="15">
        <f>+36203139488</f>
        <v>36203139488</v>
      </c>
      <c r="D1287" s="1">
        <v>3.0</v>
      </c>
      <c r="E1287" s="1">
        <v>2.0</v>
      </c>
      <c r="F1287" s="1">
        <v>33600.0</v>
      </c>
    </row>
    <row r="1288">
      <c r="A1288" s="1" t="s">
        <v>2657</v>
      </c>
      <c r="B1288" s="1" t="s">
        <v>2658</v>
      </c>
      <c r="C1288" s="15">
        <f>+36703761403</f>
        <v>36703761403</v>
      </c>
      <c r="D1288" s="1">
        <v>2.0</v>
      </c>
      <c r="E1288" s="1">
        <v>2.0</v>
      </c>
      <c r="F1288" s="1">
        <v>16100.0</v>
      </c>
    </row>
    <row r="1289">
      <c r="A1289" s="1" t="s">
        <v>2659</v>
      </c>
      <c r="B1289" s="1" t="s">
        <v>2660</v>
      </c>
      <c r="C1289" s="15">
        <f>+36706720082</f>
        <v>36706720082</v>
      </c>
      <c r="D1289" s="1">
        <v>2.0</v>
      </c>
      <c r="E1289" s="1">
        <v>2.0</v>
      </c>
      <c r="F1289" s="1">
        <v>24700.0</v>
      </c>
    </row>
    <row r="1290">
      <c r="A1290" s="1" t="s">
        <v>2661</v>
      </c>
      <c r="B1290" s="1" t="s">
        <v>2662</v>
      </c>
      <c r="C1290" s="15">
        <f>+36302054131</f>
        <v>36302054131</v>
      </c>
      <c r="D1290" s="1">
        <v>2.0</v>
      </c>
      <c r="E1290" s="1">
        <v>2.0</v>
      </c>
      <c r="F1290" s="1">
        <v>14700.0</v>
      </c>
    </row>
    <row r="1291">
      <c r="A1291" s="1" t="s">
        <v>2663</v>
      </c>
      <c r="B1291" s="1" t="s">
        <v>2664</v>
      </c>
      <c r="C1291" s="15">
        <f>+36703166903</f>
        <v>36703166903</v>
      </c>
      <c r="D1291" s="1">
        <v>2.0</v>
      </c>
      <c r="E1291" s="1">
        <v>2.0</v>
      </c>
      <c r="F1291" s="1">
        <v>17000.0</v>
      </c>
    </row>
    <row r="1292">
      <c r="A1292" s="1" t="s">
        <v>2665</v>
      </c>
      <c r="B1292" s="1" t="s">
        <v>2666</v>
      </c>
      <c r="C1292" s="15">
        <f>+36205161757</f>
        <v>36205161757</v>
      </c>
      <c r="D1292" s="1">
        <v>2.0</v>
      </c>
      <c r="E1292" s="1">
        <v>2.0</v>
      </c>
      <c r="F1292" s="1">
        <v>19000.0</v>
      </c>
    </row>
    <row r="1293">
      <c r="A1293" s="1" t="s">
        <v>2667</v>
      </c>
      <c r="B1293" s="1" t="s">
        <v>2668</v>
      </c>
      <c r="C1293" s="15">
        <f>+36202478180</f>
        <v>36202478180</v>
      </c>
      <c r="D1293" s="1">
        <v>2.0</v>
      </c>
      <c r="E1293" s="1">
        <v>2.0</v>
      </c>
      <c r="F1293" s="1">
        <v>39000.0</v>
      </c>
    </row>
    <row r="1294">
      <c r="A1294" s="1" t="s">
        <v>2669</v>
      </c>
      <c r="B1294" s="1" t="s">
        <v>2670</v>
      </c>
      <c r="C1294" s="15">
        <f>+36303005418</f>
        <v>36303005418</v>
      </c>
      <c r="D1294" s="1">
        <v>1.0</v>
      </c>
      <c r="E1294" s="1">
        <v>2.0</v>
      </c>
      <c r="F1294" s="1">
        <v>31200.0</v>
      </c>
    </row>
    <row r="1295">
      <c r="A1295" s="1" t="s">
        <v>2671</v>
      </c>
      <c r="B1295" s="1" t="s">
        <v>2672</v>
      </c>
      <c r="C1295" s="15">
        <f>+36302426774</f>
        <v>36302426774</v>
      </c>
      <c r="D1295" s="1">
        <v>2.0</v>
      </c>
      <c r="E1295" s="1">
        <v>2.0</v>
      </c>
      <c r="F1295" s="1">
        <v>22300.0</v>
      </c>
    </row>
    <row r="1296">
      <c r="A1296" s="1" t="s">
        <v>2673</v>
      </c>
      <c r="B1296" s="1" t="s">
        <v>2674</v>
      </c>
      <c r="C1296" s="15">
        <f>+36703978984</f>
        <v>36703978984</v>
      </c>
      <c r="D1296" s="1">
        <v>1.0</v>
      </c>
      <c r="E1296" s="1">
        <v>2.0</v>
      </c>
      <c r="F1296" s="1">
        <v>11600.0</v>
      </c>
    </row>
    <row r="1297">
      <c r="A1297" s="1" t="s">
        <v>2675</v>
      </c>
      <c r="B1297" s="1" t="s">
        <v>2676</v>
      </c>
      <c r="C1297" s="15">
        <f>+436609408315</f>
        <v>436609408315</v>
      </c>
      <c r="D1297" s="1">
        <v>2.0</v>
      </c>
      <c r="E1297" s="1">
        <v>2.0</v>
      </c>
      <c r="F1297" s="1">
        <v>22700.0</v>
      </c>
    </row>
    <row r="1298">
      <c r="A1298" s="1" t="s">
        <v>2677</v>
      </c>
      <c r="B1298" s="1" t="s">
        <v>2678</v>
      </c>
      <c r="C1298" s="15">
        <f>+36203383396</f>
        <v>36203383396</v>
      </c>
      <c r="D1298" s="1">
        <v>1.0</v>
      </c>
      <c r="E1298" s="1">
        <v>2.0</v>
      </c>
      <c r="F1298" s="1">
        <v>21200.0</v>
      </c>
    </row>
    <row r="1299">
      <c r="A1299" s="1" t="s">
        <v>2679</v>
      </c>
      <c r="B1299" s="1" t="s">
        <v>2680</v>
      </c>
      <c r="C1299" s="15">
        <f>+36309997528</f>
        <v>36309997528</v>
      </c>
      <c r="D1299" s="1">
        <v>3.0</v>
      </c>
      <c r="E1299" s="1">
        <v>2.0</v>
      </c>
      <c r="F1299" s="1">
        <v>25300.0</v>
      </c>
    </row>
    <row r="1300">
      <c r="A1300" s="1" t="s">
        <v>2681</v>
      </c>
      <c r="B1300" s="1" t="s">
        <v>2682</v>
      </c>
      <c r="C1300" s="15">
        <f>+36309116539</f>
        <v>36309116539</v>
      </c>
      <c r="D1300" s="1">
        <v>1.0</v>
      </c>
      <c r="E1300" s="1">
        <v>2.0</v>
      </c>
      <c r="F1300" s="1">
        <v>14200.0</v>
      </c>
    </row>
    <row r="1301">
      <c r="A1301" s="1" t="s">
        <v>2683</v>
      </c>
      <c r="B1301" s="1" t="s">
        <v>2684</v>
      </c>
      <c r="C1301" s="15">
        <f>+36205302307</f>
        <v>36205302307</v>
      </c>
      <c r="D1301" s="1">
        <v>2.0</v>
      </c>
      <c r="E1301" s="1">
        <v>2.0</v>
      </c>
      <c r="F1301" s="1">
        <v>21500.0</v>
      </c>
    </row>
    <row r="1302">
      <c r="A1302" s="1" t="s">
        <v>2685</v>
      </c>
      <c r="B1302" s="1" t="s">
        <v>2686</v>
      </c>
      <c r="C1302" s="15">
        <f>+36706158987</f>
        <v>36706158987</v>
      </c>
      <c r="D1302" s="1">
        <v>2.0</v>
      </c>
      <c r="E1302" s="1">
        <v>2.0</v>
      </c>
      <c r="F1302" s="1">
        <v>18700.0</v>
      </c>
    </row>
    <row r="1303">
      <c r="A1303" s="1" t="s">
        <v>2687</v>
      </c>
      <c r="B1303" s="1" t="s">
        <v>2688</v>
      </c>
      <c r="C1303" s="15">
        <f>+36307505288</f>
        <v>36307505288</v>
      </c>
      <c r="D1303" s="1">
        <v>3.0</v>
      </c>
      <c r="E1303" s="1">
        <v>2.0</v>
      </c>
      <c r="F1303" s="1">
        <v>17400.0</v>
      </c>
    </row>
    <row r="1304">
      <c r="A1304" s="1" t="s">
        <v>2689</v>
      </c>
      <c r="B1304" s="1" t="s">
        <v>2690</v>
      </c>
      <c r="C1304" s="15">
        <f>+36704143626</f>
        <v>36704143626</v>
      </c>
      <c r="D1304" s="1">
        <v>2.0</v>
      </c>
      <c r="E1304" s="1">
        <v>2.0</v>
      </c>
      <c r="F1304" s="1">
        <v>22800.0</v>
      </c>
    </row>
    <row r="1305">
      <c r="A1305" s="1" t="s">
        <v>2691</v>
      </c>
      <c r="B1305" s="1" t="s">
        <v>2692</v>
      </c>
      <c r="C1305" s="15">
        <f>+36707025827</f>
        <v>36707025827</v>
      </c>
      <c r="D1305" s="1">
        <v>1.0</v>
      </c>
      <c r="E1305" s="1">
        <v>2.0</v>
      </c>
      <c r="F1305" s="1">
        <v>19600.0</v>
      </c>
    </row>
    <row r="1306">
      <c r="A1306" s="1" t="s">
        <v>2693</v>
      </c>
      <c r="B1306" s="1" t="s">
        <v>2694</v>
      </c>
      <c r="C1306" s="15">
        <f>+48516682007</f>
        <v>48516682007</v>
      </c>
      <c r="D1306" s="1">
        <v>3.0</v>
      </c>
      <c r="E1306" s="1">
        <v>2.0</v>
      </c>
      <c r="F1306" s="1">
        <v>26800.0</v>
      </c>
    </row>
    <row r="1307">
      <c r="A1307" s="1" t="s">
        <v>2695</v>
      </c>
      <c r="B1307" s="1" t="s">
        <v>2696</v>
      </c>
      <c r="C1307" s="15">
        <f>+36309994427</f>
        <v>36309994427</v>
      </c>
      <c r="D1307" s="1">
        <v>1.0</v>
      </c>
      <c r="E1307" s="1">
        <v>2.0</v>
      </c>
      <c r="F1307" s="1">
        <v>21000.0</v>
      </c>
    </row>
    <row r="1308">
      <c r="A1308" s="1" t="s">
        <v>2697</v>
      </c>
      <c r="B1308" s="1" t="s">
        <v>2698</v>
      </c>
      <c r="C1308" s="15">
        <f>+36706181316</f>
        <v>36706181316</v>
      </c>
      <c r="D1308" s="1">
        <v>2.0</v>
      </c>
      <c r="E1308" s="1">
        <v>2.0</v>
      </c>
      <c r="F1308" s="1">
        <v>14800.0</v>
      </c>
    </row>
    <row r="1309">
      <c r="A1309" s="1" t="s">
        <v>2699</v>
      </c>
      <c r="B1309" s="1" t="s">
        <v>2700</v>
      </c>
      <c r="C1309" s="15">
        <f>+36209673238</f>
        <v>36209673238</v>
      </c>
      <c r="D1309" s="1">
        <v>2.0</v>
      </c>
      <c r="E1309" s="1">
        <v>2.0</v>
      </c>
      <c r="F1309" s="1">
        <v>15200.0</v>
      </c>
    </row>
    <row r="1310">
      <c r="A1310" s="1" t="s">
        <v>2701</v>
      </c>
      <c r="B1310" s="1" t="s">
        <v>2702</v>
      </c>
      <c r="C1310" s="15">
        <f>+36706286978</f>
        <v>36706286978</v>
      </c>
      <c r="D1310" s="1">
        <v>2.0</v>
      </c>
      <c r="E1310" s="1">
        <v>2.0</v>
      </c>
      <c r="F1310" s="1">
        <v>30700.0</v>
      </c>
    </row>
    <row r="1311">
      <c r="A1311" s="1" t="s">
        <v>2703</v>
      </c>
      <c r="B1311" s="1" t="s">
        <v>2704</v>
      </c>
      <c r="C1311" s="15">
        <f>+36306970661</f>
        <v>36306970661</v>
      </c>
      <c r="D1311" s="1">
        <v>1.0</v>
      </c>
      <c r="E1311" s="1">
        <v>2.0</v>
      </c>
      <c r="F1311" s="1">
        <v>18000.0</v>
      </c>
    </row>
    <row r="1312">
      <c r="A1312" s="1" t="s">
        <v>2705</v>
      </c>
      <c r="B1312" s="1" t="s">
        <v>2706</v>
      </c>
      <c r="C1312" s="15">
        <f>+36202031577</f>
        <v>36202031577</v>
      </c>
      <c r="D1312" s="1">
        <v>2.0</v>
      </c>
      <c r="E1312" s="1">
        <v>2.0</v>
      </c>
      <c r="F1312" s="1">
        <v>20100.0</v>
      </c>
    </row>
    <row r="1313">
      <c r="A1313" s="1" t="s">
        <v>2707</v>
      </c>
      <c r="B1313" s="1" t="s">
        <v>2708</v>
      </c>
      <c r="C1313" s="15">
        <f>+36704227236</f>
        <v>36704227236</v>
      </c>
      <c r="D1313" s="1">
        <v>2.0</v>
      </c>
      <c r="E1313" s="1">
        <v>2.0</v>
      </c>
      <c r="F1313" s="1">
        <v>20400.0</v>
      </c>
    </row>
    <row r="1314">
      <c r="A1314" s="1" t="s">
        <v>2709</v>
      </c>
      <c r="B1314" s="1" t="s">
        <v>2710</v>
      </c>
      <c r="C1314" s="15">
        <f>+36204734146</f>
        <v>36204734146</v>
      </c>
      <c r="D1314" s="1">
        <v>2.0</v>
      </c>
      <c r="E1314" s="1">
        <v>2.0</v>
      </c>
      <c r="F1314" s="1">
        <v>20800.0</v>
      </c>
    </row>
    <row r="1315">
      <c r="A1315" s="1" t="s">
        <v>2711</v>
      </c>
      <c r="B1315" s="1" t="s">
        <v>2712</v>
      </c>
      <c r="C1315" s="15">
        <f>+36703797463</f>
        <v>36703797463</v>
      </c>
      <c r="D1315" s="1">
        <v>1.0</v>
      </c>
      <c r="E1315" s="1">
        <v>2.0</v>
      </c>
      <c r="F1315" s="1">
        <v>21200.0</v>
      </c>
    </row>
    <row r="1316">
      <c r="A1316" s="1" t="s">
        <v>2713</v>
      </c>
      <c r="B1316" s="1" t="s">
        <v>2714</v>
      </c>
      <c r="C1316" s="15">
        <f>+36301576577</f>
        <v>36301576577</v>
      </c>
      <c r="D1316" s="1">
        <v>3.0</v>
      </c>
      <c r="E1316" s="1">
        <v>2.0</v>
      </c>
      <c r="F1316" s="1">
        <v>16100.0</v>
      </c>
    </row>
    <row r="1317">
      <c r="A1317" s="1" t="s">
        <v>2715</v>
      </c>
      <c r="B1317" s="1" t="s">
        <v>2716</v>
      </c>
      <c r="C1317" s="15">
        <f>+36705245226</f>
        <v>36705245226</v>
      </c>
      <c r="D1317" s="1">
        <v>2.0</v>
      </c>
      <c r="E1317" s="1">
        <v>2.0</v>
      </c>
      <c r="F1317" s="1">
        <v>20400.0</v>
      </c>
    </row>
    <row r="1318">
      <c r="A1318" s="1" t="s">
        <v>2717</v>
      </c>
      <c r="B1318" s="1" t="s">
        <v>2718</v>
      </c>
      <c r="C1318" s="15">
        <f>+36202396001</f>
        <v>36202396001</v>
      </c>
      <c r="D1318" s="1">
        <v>1.0</v>
      </c>
      <c r="E1318" s="1">
        <v>2.0</v>
      </c>
      <c r="F1318" s="1">
        <v>26000.0</v>
      </c>
    </row>
    <row r="1319">
      <c r="A1319" s="1" t="s">
        <v>2719</v>
      </c>
      <c r="B1319" s="1" t="s">
        <v>2720</v>
      </c>
      <c r="C1319" s="15">
        <f>+36709449687</f>
        <v>36709449687</v>
      </c>
      <c r="D1319" s="1">
        <v>2.0</v>
      </c>
      <c r="E1319" s="1">
        <v>2.0</v>
      </c>
      <c r="F1319" s="1">
        <v>33200.0</v>
      </c>
    </row>
    <row r="1320">
      <c r="A1320" s="1" t="s">
        <v>2721</v>
      </c>
      <c r="B1320" s="1" t="s">
        <v>2722</v>
      </c>
      <c r="C1320" s="15">
        <f>+36303278442</f>
        <v>36303278442</v>
      </c>
      <c r="D1320" s="1">
        <v>2.0</v>
      </c>
      <c r="E1320" s="1">
        <v>2.0</v>
      </c>
      <c r="F1320" s="1">
        <v>20200.0</v>
      </c>
    </row>
    <row r="1321">
      <c r="A1321" s="1" t="s">
        <v>2723</v>
      </c>
      <c r="B1321" s="1" t="s">
        <v>2724</v>
      </c>
      <c r="C1321" s="15">
        <f>+36302630544</f>
        <v>36302630544</v>
      </c>
      <c r="D1321" s="1">
        <v>2.0</v>
      </c>
      <c r="E1321" s="1">
        <v>2.0</v>
      </c>
      <c r="F1321" s="1">
        <v>21900.0</v>
      </c>
    </row>
    <row r="1322">
      <c r="A1322" s="1" t="s">
        <v>2725</v>
      </c>
      <c r="B1322" s="1" t="s">
        <v>2726</v>
      </c>
      <c r="C1322" s="15">
        <f>+36309320477</f>
        <v>36309320477</v>
      </c>
      <c r="D1322" s="1">
        <v>2.0</v>
      </c>
      <c r="E1322" s="1">
        <v>2.0</v>
      </c>
      <c r="F1322" s="1">
        <v>24700.0</v>
      </c>
    </row>
    <row r="1323">
      <c r="A1323" s="1" t="s">
        <v>2727</v>
      </c>
      <c r="B1323" s="1" t="s">
        <v>2728</v>
      </c>
      <c r="C1323" s="15">
        <f>+36202583477</f>
        <v>36202583477</v>
      </c>
      <c r="D1323" s="1">
        <v>2.0</v>
      </c>
      <c r="E1323" s="1">
        <v>2.0</v>
      </c>
      <c r="F1323" s="1">
        <v>15700.0</v>
      </c>
    </row>
    <row r="1324">
      <c r="A1324" s="1" t="s">
        <v>2729</v>
      </c>
      <c r="B1324" s="1" t="s">
        <v>2730</v>
      </c>
      <c r="C1324" s="15">
        <f>+36306024912</f>
        <v>36306024912</v>
      </c>
      <c r="D1324" s="1">
        <v>2.0</v>
      </c>
      <c r="E1324" s="1">
        <v>2.0</v>
      </c>
      <c r="F1324" s="1">
        <v>15900.0</v>
      </c>
    </row>
    <row r="1325">
      <c r="A1325" s="1" t="s">
        <v>2731</v>
      </c>
      <c r="B1325" s="1" t="s">
        <v>2732</v>
      </c>
      <c r="C1325" s="15">
        <f>+36702457585</f>
        <v>36702457585</v>
      </c>
      <c r="D1325" s="1">
        <v>2.0</v>
      </c>
      <c r="E1325" s="1">
        <v>2.0</v>
      </c>
      <c r="F1325" s="1">
        <v>20500.0</v>
      </c>
    </row>
    <row r="1326">
      <c r="A1326" s="1" t="s">
        <v>2733</v>
      </c>
      <c r="B1326" s="1" t="s">
        <v>2734</v>
      </c>
      <c r="C1326" s="15">
        <f>+36204099539</f>
        <v>36204099539</v>
      </c>
      <c r="D1326" s="1">
        <v>2.0</v>
      </c>
      <c r="E1326" s="1">
        <v>2.0</v>
      </c>
      <c r="F1326" s="1">
        <v>21500.0</v>
      </c>
    </row>
    <row r="1327">
      <c r="A1327" s="1" t="s">
        <v>2735</v>
      </c>
      <c r="B1327" s="1" t="s">
        <v>2736</v>
      </c>
      <c r="C1327" s="15">
        <f>+421915846964</f>
        <v>421915846964</v>
      </c>
      <c r="D1327" s="1">
        <v>2.0</v>
      </c>
      <c r="E1327" s="1">
        <v>2.0</v>
      </c>
      <c r="F1327" s="1">
        <v>18600.0</v>
      </c>
    </row>
    <row r="1328">
      <c r="A1328" s="1" t="s">
        <v>2737</v>
      </c>
      <c r="B1328" s="1" t="s">
        <v>2738</v>
      </c>
      <c r="C1328" s="15">
        <f>+421907994643</f>
        <v>421907994643</v>
      </c>
      <c r="D1328" s="1">
        <v>1.0</v>
      </c>
      <c r="E1328" s="1">
        <v>2.0</v>
      </c>
      <c r="F1328" s="1">
        <v>26000.0</v>
      </c>
    </row>
    <row r="1329">
      <c r="A1329" s="1" t="s">
        <v>2739</v>
      </c>
      <c r="B1329" s="1" t="s">
        <v>2740</v>
      </c>
      <c r="C1329" s="15">
        <f>+36706140136</f>
        <v>36706140136</v>
      </c>
      <c r="D1329" s="1">
        <v>3.0</v>
      </c>
      <c r="E1329" s="1">
        <v>2.0</v>
      </c>
      <c r="F1329" s="1">
        <v>23400.0</v>
      </c>
    </row>
    <row r="1330">
      <c r="A1330" s="1" t="s">
        <v>2741</v>
      </c>
      <c r="B1330" s="1" t="s">
        <v>2742</v>
      </c>
      <c r="C1330" s="15">
        <f>+36205420920</f>
        <v>36205420920</v>
      </c>
      <c r="D1330" s="1">
        <v>1.0</v>
      </c>
      <c r="E1330" s="1">
        <v>2.0</v>
      </c>
      <c r="F1330" s="1">
        <v>18000.0</v>
      </c>
    </row>
    <row r="1331">
      <c r="A1331" s="1" t="s">
        <v>2743</v>
      </c>
      <c r="B1331" s="1" t="s">
        <v>2744</v>
      </c>
      <c r="C1331" s="15">
        <f>+36306307526</f>
        <v>36306307526</v>
      </c>
      <c r="D1331" s="1">
        <v>1.0</v>
      </c>
      <c r="E1331" s="1">
        <v>2.0</v>
      </c>
      <c r="F1331" s="1">
        <v>21200.0</v>
      </c>
    </row>
    <row r="1332">
      <c r="A1332" s="1" t="s">
        <v>2745</v>
      </c>
      <c r="B1332" s="1" t="s">
        <v>2746</v>
      </c>
      <c r="C1332" s="15">
        <f>+36705153787</f>
        <v>36705153787</v>
      </c>
      <c r="D1332" s="1">
        <v>2.0</v>
      </c>
      <c r="E1332" s="1">
        <v>2.0</v>
      </c>
      <c r="F1332" s="1">
        <v>25600.0</v>
      </c>
    </row>
    <row r="1333">
      <c r="A1333" s="1" t="s">
        <v>2747</v>
      </c>
      <c r="B1333" s="1" t="s">
        <v>2748</v>
      </c>
      <c r="C1333" s="15">
        <f>+36307358264</f>
        <v>36307358264</v>
      </c>
      <c r="D1333" s="1">
        <v>1.0</v>
      </c>
      <c r="E1333" s="1">
        <v>2.0</v>
      </c>
      <c r="F1333" s="1">
        <v>44800.0</v>
      </c>
    </row>
    <row r="1334">
      <c r="A1334" s="1" t="s">
        <v>2749</v>
      </c>
      <c r="B1334" s="1" t="s">
        <v>2750</v>
      </c>
      <c r="C1334" s="15">
        <f>+36307466869</f>
        <v>36307466869</v>
      </c>
      <c r="D1334" s="1">
        <v>2.0</v>
      </c>
      <c r="E1334" s="1">
        <v>2.0</v>
      </c>
      <c r="F1334" s="1">
        <v>17000.0</v>
      </c>
    </row>
    <row r="1335">
      <c r="A1335" s="1" t="s">
        <v>2751</v>
      </c>
      <c r="B1335" s="1" t="s">
        <v>2752</v>
      </c>
      <c r="C1335" s="15">
        <f>+36202823349</f>
        <v>36202823349</v>
      </c>
      <c r="D1335" s="1">
        <v>2.0</v>
      </c>
      <c r="E1335" s="1">
        <v>2.0</v>
      </c>
      <c r="F1335" s="1">
        <v>21700.0</v>
      </c>
    </row>
    <row r="1336">
      <c r="A1336" s="1" t="s">
        <v>2753</v>
      </c>
      <c r="B1336" s="1" t="s">
        <v>2754</v>
      </c>
      <c r="C1336" s="15">
        <f>+36703739138</f>
        <v>36703739138</v>
      </c>
      <c r="D1336" s="1">
        <v>2.0</v>
      </c>
      <c r="E1336" s="1">
        <v>2.0</v>
      </c>
      <c r="F1336" s="1">
        <v>18500.0</v>
      </c>
    </row>
    <row r="1337">
      <c r="A1337" s="1" t="s">
        <v>2755</v>
      </c>
      <c r="B1337" s="1" t="s">
        <v>2756</v>
      </c>
      <c r="C1337" s="15">
        <f>+36501165795</f>
        <v>36501165795</v>
      </c>
      <c r="D1337" s="1">
        <v>2.0</v>
      </c>
      <c r="E1337" s="1">
        <v>2.0</v>
      </c>
      <c r="F1337" s="1">
        <v>14400.0</v>
      </c>
    </row>
    <row r="1338">
      <c r="A1338" s="1" t="s">
        <v>2757</v>
      </c>
      <c r="B1338" s="1" t="s">
        <v>2758</v>
      </c>
      <c r="C1338" s="15">
        <f>+36203787055</f>
        <v>36203787055</v>
      </c>
      <c r="D1338" s="1">
        <v>2.0</v>
      </c>
      <c r="E1338" s="1">
        <v>2.0</v>
      </c>
      <c r="F1338" s="1">
        <v>24900.0</v>
      </c>
    </row>
    <row r="1339">
      <c r="A1339" s="1" t="s">
        <v>2759</v>
      </c>
      <c r="B1339" s="1" t="s">
        <v>2760</v>
      </c>
      <c r="C1339" s="15">
        <f>+36706198671</f>
        <v>36706198671</v>
      </c>
      <c r="D1339" s="1">
        <v>2.0</v>
      </c>
      <c r="E1339" s="1">
        <v>2.0</v>
      </c>
      <c r="F1339" s="1">
        <v>17000.0</v>
      </c>
    </row>
    <row r="1340">
      <c r="A1340" s="1" t="s">
        <v>2761</v>
      </c>
      <c r="B1340" s="1" t="s">
        <v>2762</v>
      </c>
      <c r="C1340" s="15">
        <f>+36302701479</f>
        <v>36302701479</v>
      </c>
      <c r="D1340" s="1">
        <v>1.0</v>
      </c>
      <c r="E1340" s="1">
        <v>2.0</v>
      </c>
      <c r="F1340" s="1">
        <v>19600.0</v>
      </c>
    </row>
    <row r="1341">
      <c r="A1341" s="1" t="s">
        <v>2763</v>
      </c>
      <c r="B1341" s="1" t="s">
        <v>2764</v>
      </c>
      <c r="C1341" s="15">
        <f>+36308421826</f>
        <v>36308421826</v>
      </c>
      <c r="D1341" s="1">
        <v>3.0</v>
      </c>
      <c r="E1341" s="1">
        <v>2.0</v>
      </c>
      <c r="F1341" s="1">
        <v>18700.0</v>
      </c>
    </row>
    <row r="1342">
      <c r="A1342" s="1" t="s">
        <v>2765</v>
      </c>
      <c r="B1342" s="1" t="s">
        <v>2766</v>
      </c>
      <c r="C1342" s="15">
        <f>+36304267695</f>
        <v>36304267695</v>
      </c>
      <c r="D1342" s="1">
        <v>2.0</v>
      </c>
      <c r="E1342" s="1">
        <v>2.0</v>
      </c>
      <c r="F1342" s="1">
        <v>16700.0</v>
      </c>
    </row>
    <row r="1343">
      <c r="A1343" s="1" t="s">
        <v>2767</v>
      </c>
      <c r="B1343" s="1" t="s">
        <v>2768</v>
      </c>
      <c r="C1343" s="15">
        <f>+36705166997</f>
        <v>36705166997</v>
      </c>
      <c r="D1343" s="1">
        <v>2.0</v>
      </c>
      <c r="E1343" s="1">
        <v>2.0</v>
      </c>
      <c r="F1343" s="1">
        <v>19600.0</v>
      </c>
    </row>
    <row r="1344">
      <c r="A1344" s="1" t="s">
        <v>2769</v>
      </c>
      <c r="B1344" s="1" t="s">
        <v>2770</v>
      </c>
      <c r="C1344" s="15">
        <f>+36308390639</f>
        <v>36308390639</v>
      </c>
      <c r="D1344" s="1">
        <v>2.0</v>
      </c>
      <c r="E1344" s="1">
        <v>2.0</v>
      </c>
      <c r="F1344" s="1">
        <v>20600.0</v>
      </c>
    </row>
    <row r="1345">
      <c r="A1345" s="1" t="s">
        <v>2771</v>
      </c>
      <c r="B1345" s="1" t="s">
        <v>2772</v>
      </c>
      <c r="C1345" s="15">
        <f>+36203156281</f>
        <v>36203156281</v>
      </c>
      <c r="D1345" s="1">
        <v>1.0</v>
      </c>
      <c r="E1345" s="1">
        <v>2.0</v>
      </c>
      <c r="F1345" s="1">
        <v>23400.0</v>
      </c>
    </row>
    <row r="1346">
      <c r="A1346" s="1" t="s">
        <v>2773</v>
      </c>
      <c r="B1346" s="1" t="s">
        <v>2774</v>
      </c>
      <c r="C1346" s="15">
        <f>+48519353297</f>
        <v>48519353297</v>
      </c>
      <c r="D1346" s="1">
        <v>2.0</v>
      </c>
      <c r="E1346" s="1">
        <v>2.0</v>
      </c>
      <c r="F1346" s="1">
        <v>23000.0</v>
      </c>
    </row>
    <row r="1347">
      <c r="A1347" s="1" t="s">
        <v>2775</v>
      </c>
      <c r="B1347" s="1" t="s">
        <v>2776</v>
      </c>
      <c r="C1347" s="15">
        <f>+36306483620</f>
        <v>36306483620</v>
      </c>
      <c r="D1347" s="1">
        <v>2.0</v>
      </c>
      <c r="E1347" s="1">
        <v>2.0</v>
      </c>
      <c r="F1347" s="1">
        <v>28100.0</v>
      </c>
    </row>
    <row r="1348">
      <c r="A1348" s="1" t="s">
        <v>2777</v>
      </c>
      <c r="B1348" s="1" t="s">
        <v>2778</v>
      </c>
      <c r="C1348" s="15">
        <f>+385992593902</f>
        <v>385992593902</v>
      </c>
      <c r="D1348" s="1">
        <v>1.0</v>
      </c>
      <c r="E1348" s="1">
        <v>2.0</v>
      </c>
      <c r="F1348" s="1">
        <v>23600.0</v>
      </c>
    </row>
    <row r="1349">
      <c r="A1349" s="1" t="s">
        <v>2779</v>
      </c>
      <c r="B1349" s="1" t="s">
        <v>2780</v>
      </c>
      <c r="C1349" s="15">
        <f>+40754469499</f>
        <v>40754469499</v>
      </c>
      <c r="D1349" s="1">
        <v>2.0</v>
      </c>
      <c r="E1349" s="1">
        <v>2.0</v>
      </c>
      <c r="F1349" s="1">
        <v>21700.0</v>
      </c>
    </row>
    <row r="1350">
      <c r="A1350" s="1" t="s">
        <v>2781</v>
      </c>
      <c r="B1350" s="1" t="s">
        <v>2782</v>
      </c>
      <c r="C1350" s="15">
        <f>+36303391057</f>
        <v>36303391057</v>
      </c>
      <c r="D1350" s="1">
        <v>2.0</v>
      </c>
      <c r="E1350" s="1">
        <v>2.0</v>
      </c>
      <c r="F1350" s="1">
        <v>24000.0</v>
      </c>
    </row>
    <row r="1351">
      <c r="A1351" s="1" t="s">
        <v>2783</v>
      </c>
      <c r="B1351" s="1" t="s">
        <v>2784</v>
      </c>
      <c r="C1351" s="15">
        <f>+36303931596</f>
        <v>36303931596</v>
      </c>
      <c r="D1351" s="1">
        <v>2.0</v>
      </c>
      <c r="E1351" s="1">
        <v>2.0</v>
      </c>
      <c r="F1351" s="1">
        <v>22200.0</v>
      </c>
    </row>
    <row r="1352">
      <c r="A1352" s="1" t="s">
        <v>2785</v>
      </c>
      <c r="B1352" s="1" t="s">
        <v>2786</v>
      </c>
      <c r="C1352" s="15">
        <f>+36704318618</f>
        <v>36704318618</v>
      </c>
      <c r="D1352" s="1">
        <v>2.0</v>
      </c>
      <c r="E1352" s="1">
        <v>2.0</v>
      </c>
      <c r="F1352" s="1">
        <v>26700.0</v>
      </c>
    </row>
    <row r="1353">
      <c r="A1353" s="1" t="s">
        <v>2787</v>
      </c>
      <c r="B1353" s="1" t="s">
        <v>2788</v>
      </c>
      <c r="C1353" s="15">
        <f>+36302045385</f>
        <v>36302045385</v>
      </c>
      <c r="D1353" s="1">
        <v>2.0</v>
      </c>
      <c r="E1353" s="1">
        <v>2.0</v>
      </c>
      <c r="F1353" s="1">
        <v>21200.0</v>
      </c>
    </row>
    <row r="1354">
      <c r="A1354" s="1" t="s">
        <v>2789</v>
      </c>
      <c r="B1354" s="1" t="s">
        <v>2790</v>
      </c>
      <c r="C1354" s="15">
        <f>+36202593931</f>
        <v>36202593931</v>
      </c>
      <c r="D1354" s="1">
        <v>2.0</v>
      </c>
      <c r="E1354" s="1">
        <v>2.0</v>
      </c>
      <c r="F1354" s="1">
        <v>18700.0</v>
      </c>
    </row>
    <row r="1355">
      <c r="A1355" s="1" t="s">
        <v>2791</v>
      </c>
      <c r="B1355" s="1" t="s">
        <v>2792</v>
      </c>
      <c r="C1355" s="15">
        <f>+36706228847</f>
        <v>36706228847</v>
      </c>
      <c r="D1355" s="1">
        <v>2.0</v>
      </c>
      <c r="E1355" s="1">
        <v>2.0</v>
      </c>
      <c r="F1355" s="1">
        <v>33800.0</v>
      </c>
    </row>
    <row r="1356">
      <c r="A1356" s="1" t="s">
        <v>2793</v>
      </c>
      <c r="B1356" s="1" t="s">
        <v>2794</v>
      </c>
      <c r="C1356" s="15">
        <f>+36305173648</f>
        <v>36305173648</v>
      </c>
      <c r="D1356" s="1">
        <v>2.0</v>
      </c>
      <c r="E1356" s="1">
        <v>2.0</v>
      </c>
      <c r="F1356" s="1">
        <v>18700.0</v>
      </c>
    </row>
    <row r="1357">
      <c r="A1357" s="1" t="s">
        <v>2795</v>
      </c>
      <c r="B1357" s="1" t="s">
        <v>2796</v>
      </c>
      <c r="C1357" s="15">
        <f>+421915502075</f>
        <v>421915502075</v>
      </c>
      <c r="D1357" s="1">
        <v>2.0</v>
      </c>
      <c r="E1357" s="1">
        <v>2.0</v>
      </c>
      <c r="F1357" s="1">
        <v>22800.0</v>
      </c>
    </row>
    <row r="1358">
      <c r="A1358" s="1" t="s">
        <v>2797</v>
      </c>
      <c r="B1358" s="1" t="s">
        <v>2798</v>
      </c>
      <c r="C1358" s="15">
        <f>+36708505758</f>
        <v>36708505758</v>
      </c>
      <c r="D1358" s="1">
        <v>4.0</v>
      </c>
      <c r="E1358" s="1">
        <v>2.0</v>
      </c>
      <c r="F1358" s="1">
        <v>25800.0</v>
      </c>
    </row>
    <row r="1359">
      <c r="A1359" s="1" t="s">
        <v>2799</v>
      </c>
      <c r="B1359" s="1" t="s">
        <v>2800</v>
      </c>
      <c r="C1359" s="15">
        <f>+36304133574</f>
        <v>36304133574</v>
      </c>
      <c r="D1359" s="1">
        <v>2.0</v>
      </c>
      <c r="E1359" s="1">
        <v>2.0</v>
      </c>
      <c r="F1359" s="1">
        <v>38500.0</v>
      </c>
    </row>
    <row r="1360">
      <c r="A1360" s="1" t="s">
        <v>2801</v>
      </c>
      <c r="B1360" s="1" t="s">
        <v>2802</v>
      </c>
      <c r="C1360" s="15">
        <f>+36204012502</f>
        <v>36204012502</v>
      </c>
      <c r="D1360" s="1">
        <v>1.0</v>
      </c>
      <c r="E1360" s="1">
        <v>2.0</v>
      </c>
      <c r="F1360" s="1">
        <v>26000.0</v>
      </c>
    </row>
    <row r="1361">
      <c r="A1361" s="1" t="s">
        <v>2803</v>
      </c>
      <c r="B1361" s="1" t="s">
        <v>2804</v>
      </c>
      <c r="C1361" s="15">
        <f>+36305325030</f>
        <v>36305325030</v>
      </c>
      <c r="D1361" s="1">
        <v>1.0</v>
      </c>
      <c r="E1361" s="1">
        <v>2.0</v>
      </c>
      <c r="F1361" s="1">
        <v>19600.0</v>
      </c>
    </row>
    <row r="1362">
      <c r="A1362" s="1" t="s">
        <v>2805</v>
      </c>
      <c r="B1362" s="1" t="s">
        <v>2806</v>
      </c>
      <c r="C1362" s="15">
        <f>+36307114446</f>
        <v>36307114446</v>
      </c>
      <c r="D1362" s="1">
        <v>3.0</v>
      </c>
      <c r="E1362" s="1">
        <v>2.0</v>
      </c>
      <c r="F1362" s="1">
        <v>21150.0</v>
      </c>
    </row>
    <row r="1363">
      <c r="A1363" s="1" t="s">
        <v>2807</v>
      </c>
      <c r="B1363" s="1" t="s">
        <v>2808</v>
      </c>
      <c r="C1363" s="15">
        <f>+36705719226</f>
        <v>36705719226</v>
      </c>
      <c r="D1363" s="1">
        <v>1.0</v>
      </c>
      <c r="E1363" s="1">
        <v>2.0</v>
      </c>
      <c r="F1363" s="1">
        <v>21400.0</v>
      </c>
    </row>
    <row r="1364">
      <c r="A1364" s="1" t="s">
        <v>2809</v>
      </c>
      <c r="B1364" s="1" t="s">
        <v>2810</v>
      </c>
      <c r="C1364" s="15">
        <f>+36209891147</f>
        <v>36209891147</v>
      </c>
      <c r="D1364" s="1">
        <v>1.0</v>
      </c>
      <c r="E1364" s="1">
        <v>2.0</v>
      </c>
      <c r="F1364" s="1">
        <v>23200.0</v>
      </c>
    </row>
    <row r="1365">
      <c r="A1365" s="1" t="s">
        <v>2811</v>
      </c>
      <c r="B1365" s="1" t="s">
        <v>2812</v>
      </c>
      <c r="C1365" s="15">
        <f>+421908647034</f>
        <v>421908647034</v>
      </c>
      <c r="D1365" s="1">
        <v>2.0</v>
      </c>
      <c r="E1365" s="1">
        <v>2.0</v>
      </c>
      <c r="F1365" s="1">
        <v>16200.0</v>
      </c>
    </row>
    <row r="1366">
      <c r="A1366" s="1" t="s">
        <v>2813</v>
      </c>
      <c r="B1366" s="1" t="s">
        <v>2814</v>
      </c>
      <c r="C1366" s="15">
        <f>+36308913385</f>
        <v>36308913385</v>
      </c>
      <c r="D1366" s="1">
        <v>2.0</v>
      </c>
      <c r="E1366" s="1">
        <v>2.0</v>
      </c>
      <c r="F1366" s="1">
        <v>19600.0</v>
      </c>
    </row>
    <row r="1367">
      <c r="A1367" s="1" t="s">
        <v>2815</v>
      </c>
      <c r="B1367" s="1" t="s">
        <v>2816</v>
      </c>
      <c r="C1367" s="15">
        <f>+36704102549</f>
        <v>36704102549</v>
      </c>
      <c r="D1367" s="1">
        <v>2.0</v>
      </c>
      <c r="E1367" s="1">
        <v>2.0</v>
      </c>
      <c r="F1367" s="1">
        <v>22200.0</v>
      </c>
    </row>
    <row r="1368">
      <c r="A1368" s="1" t="s">
        <v>2817</v>
      </c>
      <c r="B1368" s="1" t="s">
        <v>2818</v>
      </c>
      <c r="C1368" s="15">
        <f>+36305807783</f>
        <v>36305807783</v>
      </c>
      <c r="D1368" s="1">
        <v>1.0</v>
      </c>
      <c r="E1368" s="1">
        <v>2.0</v>
      </c>
      <c r="F1368" s="1">
        <v>18000.0</v>
      </c>
    </row>
    <row r="1369">
      <c r="A1369" s="1" t="s">
        <v>2819</v>
      </c>
      <c r="B1369" s="1" t="s">
        <v>2820</v>
      </c>
      <c r="C1369" s="15">
        <f>+36202142124</f>
        <v>36202142124</v>
      </c>
      <c r="D1369" s="1">
        <v>1.0</v>
      </c>
      <c r="E1369" s="1">
        <v>2.0</v>
      </c>
      <c r="F1369" s="1">
        <v>11600.0</v>
      </c>
    </row>
    <row r="1370">
      <c r="A1370" s="1" t="s">
        <v>2821</v>
      </c>
      <c r="B1370" s="1" t="s">
        <v>2822</v>
      </c>
      <c r="C1370" s="15">
        <f>+36309051196</f>
        <v>36309051196</v>
      </c>
      <c r="D1370" s="1">
        <v>3.0</v>
      </c>
      <c r="E1370" s="1">
        <v>2.0</v>
      </c>
      <c r="F1370" s="1">
        <v>19500.0</v>
      </c>
    </row>
    <row r="1371">
      <c r="A1371" s="1" t="s">
        <v>2823</v>
      </c>
      <c r="B1371" s="1" t="s">
        <v>2824</v>
      </c>
      <c r="C1371" s="15">
        <f>+36303433543</f>
        <v>36303433543</v>
      </c>
      <c r="D1371" s="1">
        <v>2.0</v>
      </c>
      <c r="E1371" s="1">
        <v>2.0</v>
      </c>
      <c r="F1371" s="1">
        <v>15200.0</v>
      </c>
    </row>
    <row r="1372">
      <c r="A1372" s="1" t="s">
        <v>2825</v>
      </c>
      <c r="B1372" s="1" t="s">
        <v>2826</v>
      </c>
      <c r="C1372" s="15">
        <f>+36308360474</f>
        <v>36308360474</v>
      </c>
      <c r="D1372" s="1">
        <v>1.0</v>
      </c>
      <c r="E1372" s="1">
        <v>2.0</v>
      </c>
      <c r="F1372" s="1">
        <v>17800.0</v>
      </c>
    </row>
    <row r="1373">
      <c r="A1373" s="1" t="s">
        <v>2827</v>
      </c>
      <c r="B1373" s="1" t="s">
        <v>2828</v>
      </c>
      <c r="C1373" s="15">
        <f>+36706080280</f>
        <v>36706080280</v>
      </c>
      <c r="D1373" s="1">
        <v>2.0</v>
      </c>
      <c r="E1373" s="1">
        <v>2.0</v>
      </c>
      <c r="F1373" s="1">
        <v>26000.0</v>
      </c>
    </row>
    <row r="1374">
      <c r="A1374" s="1" t="s">
        <v>2829</v>
      </c>
      <c r="B1374" s="1" t="s">
        <v>2830</v>
      </c>
      <c r="C1374" s="15">
        <f>+36304417665</f>
        <v>36304417665</v>
      </c>
      <c r="D1374" s="1">
        <v>2.0</v>
      </c>
      <c r="E1374" s="1">
        <v>2.0</v>
      </c>
      <c r="F1374" s="1">
        <v>19400.0</v>
      </c>
    </row>
    <row r="1375">
      <c r="A1375" s="1" t="s">
        <v>2831</v>
      </c>
      <c r="B1375" s="1" t="s">
        <v>2832</v>
      </c>
      <c r="C1375" s="15">
        <f>+36203390712</f>
        <v>36203390712</v>
      </c>
      <c r="D1375" s="1">
        <v>1.0</v>
      </c>
      <c r="E1375" s="1">
        <v>2.0</v>
      </c>
      <c r="F1375" s="1">
        <v>18000.0</v>
      </c>
    </row>
    <row r="1376">
      <c r="A1376" s="1" t="s">
        <v>2833</v>
      </c>
      <c r="B1376" s="1" t="s">
        <v>2834</v>
      </c>
      <c r="C1376" s="15">
        <f>+36308627236</f>
        <v>36308627236</v>
      </c>
      <c r="D1376" s="1">
        <v>2.0</v>
      </c>
      <c r="E1376" s="1">
        <v>2.0</v>
      </c>
      <c r="F1376" s="1">
        <v>17000.0</v>
      </c>
    </row>
    <row r="1377">
      <c r="A1377" s="1" t="s">
        <v>2835</v>
      </c>
      <c r="B1377" s="1" t="s">
        <v>2836</v>
      </c>
      <c r="C1377" s="15">
        <f>+36205711148</f>
        <v>36205711148</v>
      </c>
      <c r="D1377" s="1">
        <v>2.0</v>
      </c>
      <c r="E1377" s="1">
        <v>2.0</v>
      </c>
      <c r="F1377" s="1">
        <v>28400.0</v>
      </c>
    </row>
    <row r="1378">
      <c r="A1378" s="1" t="s">
        <v>2837</v>
      </c>
      <c r="B1378" s="1" t="s">
        <v>2838</v>
      </c>
      <c r="C1378" s="15">
        <f>+36302993452</f>
        <v>36302993452</v>
      </c>
      <c r="D1378" s="1">
        <v>2.0</v>
      </c>
      <c r="E1378" s="1">
        <v>2.0</v>
      </c>
      <c r="F1378" s="1">
        <v>17700.0</v>
      </c>
    </row>
    <row r="1379">
      <c r="A1379" s="1" t="s">
        <v>2839</v>
      </c>
      <c r="B1379" s="1" t="s">
        <v>2840</v>
      </c>
      <c r="C1379" s="15">
        <f>+40740874303</f>
        <v>40740874303</v>
      </c>
      <c r="D1379" s="1">
        <v>2.0</v>
      </c>
      <c r="E1379" s="1">
        <v>2.0</v>
      </c>
      <c r="F1379" s="1">
        <v>23600.0</v>
      </c>
    </row>
    <row r="1380">
      <c r="A1380" s="1" t="s">
        <v>2841</v>
      </c>
      <c r="B1380" s="1" t="s">
        <v>2842</v>
      </c>
      <c r="C1380" s="15">
        <f>+36703436528</f>
        <v>36703436528</v>
      </c>
      <c r="D1380" s="1">
        <v>2.0</v>
      </c>
      <c r="E1380" s="1">
        <v>2.0</v>
      </c>
      <c r="F1380" s="1">
        <v>20600.0</v>
      </c>
    </row>
    <row r="1381">
      <c r="A1381" s="1" t="s">
        <v>2843</v>
      </c>
      <c r="B1381" s="1" t="s">
        <v>2844</v>
      </c>
      <c r="C1381" s="15">
        <f>+36209650300</f>
        <v>36209650300</v>
      </c>
      <c r="D1381" s="1">
        <v>2.0</v>
      </c>
      <c r="E1381" s="1">
        <v>2.0</v>
      </c>
      <c r="F1381" s="1">
        <v>20100.0</v>
      </c>
    </row>
    <row r="1382">
      <c r="A1382" s="1" t="s">
        <v>2845</v>
      </c>
      <c r="B1382" s="1" t="s">
        <v>2846</v>
      </c>
      <c r="C1382" s="15">
        <f>+36704177704</f>
        <v>36704177704</v>
      </c>
      <c r="D1382" s="1">
        <v>3.0</v>
      </c>
      <c r="E1382" s="1">
        <v>2.0</v>
      </c>
      <c r="F1382" s="1">
        <v>20600.0</v>
      </c>
    </row>
    <row r="1383">
      <c r="A1383" s="1" t="s">
        <v>2847</v>
      </c>
      <c r="B1383" s="1" t="s">
        <v>2848</v>
      </c>
      <c r="C1383" s="15">
        <f>+36209447024</f>
        <v>36209447024</v>
      </c>
      <c r="D1383" s="1">
        <v>3.0</v>
      </c>
      <c r="E1383" s="1">
        <v>2.0</v>
      </c>
      <c r="F1383" s="1">
        <v>34800.0</v>
      </c>
    </row>
    <row r="1384">
      <c r="A1384" s="1" t="s">
        <v>2849</v>
      </c>
      <c r="B1384" s="1" t="s">
        <v>2850</v>
      </c>
      <c r="C1384" s="15">
        <f>+36305070153</f>
        <v>36305070153</v>
      </c>
      <c r="D1384" s="1">
        <v>3.0</v>
      </c>
      <c r="E1384" s="1">
        <v>2.0</v>
      </c>
      <c r="F1384" s="1">
        <v>32200.0</v>
      </c>
    </row>
    <row r="1385">
      <c r="A1385" s="1" t="s">
        <v>2851</v>
      </c>
      <c r="B1385" s="1" t="s">
        <v>2852</v>
      </c>
      <c r="C1385" s="15">
        <f>+36309619720</f>
        <v>36309619720</v>
      </c>
      <c r="D1385" s="1">
        <v>2.0</v>
      </c>
      <c r="E1385" s="1">
        <v>2.0</v>
      </c>
      <c r="F1385" s="1">
        <v>20700.0</v>
      </c>
    </row>
    <row r="1386">
      <c r="A1386" s="1" t="s">
        <v>2853</v>
      </c>
      <c r="B1386" s="1" t="s">
        <v>2854</v>
      </c>
      <c r="C1386" s="15">
        <f>+36704088470</f>
        <v>36704088470</v>
      </c>
      <c r="D1386" s="1">
        <v>2.0</v>
      </c>
      <c r="E1386" s="1">
        <v>2.0</v>
      </c>
      <c r="F1386" s="1">
        <v>16100.0</v>
      </c>
    </row>
    <row r="1387">
      <c r="A1387" s="1" t="s">
        <v>2855</v>
      </c>
      <c r="B1387" s="1" t="s">
        <v>2856</v>
      </c>
      <c r="C1387" s="15">
        <f>+36203670313</f>
        <v>36203670313</v>
      </c>
      <c r="D1387" s="1">
        <v>2.0</v>
      </c>
      <c r="E1387" s="1">
        <v>2.0</v>
      </c>
      <c r="F1387" s="1">
        <v>21300.0</v>
      </c>
    </row>
    <row r="1388">
      <c r="A1388" s="1" t="s">
        <v>2857</v>
      </c>
      <c r="B1388" s="1" t="s">
        <v>2858</v>
      </c>
      <c r="C1388" s="15">
        <f>+36308688436</f>
        <v>36308688436</v>
      </c>
      <c r="D1388" s="1">
        <v>1.0</v>
      </c>
      <c r="E1388" s="1">
        <v>2.0</v>
      </c>
      <c r="F1388" s="1">
        <v>21200.0</v>
      </c>
    </row>
    <row r="1389">
      <c r="A1389" s="1" t="s">
        <v>2859</v>
      </c>
      <c r="B1389" s="1" t="s">
        <v>2860</v>
      </c>
      <c r="C1389" s="15">
        <f>+36205623072</f>
        <v>36205623072</v>
      </c>
      <c r="D1389" s="1">
        <v>2.0</v>
      </c>
      <c r="E1389" s="1">
        <v>2.0</v>
      </c>
      <c r="F1389" s="1">
        <v>24700.0</v>
      </c>
    </row>
    <row r="1390">
      <c r="A1390" s="1" t="s">
        <v>2861</v>
      </c>
      <c r="B1390" s="1" t="s">
        <v>2862</v>
      </c>
      <c r="C1390" s="15">
        <f>+36204217957</f>
        <v>36204217957</v>
      </c>
      <c r="D1390" s="1">
        <v>2.0</v>
      </c>
      <c r="E1390" s="1">
        <v>2.0</v>
      </c>
      <c r="F1390" s="1">
        <v>24700.0</v>
      </c>
    </row>
    <row r="1391">
      <c r="A1391" s="1" t="s">
        <v>2863</v>
      </c>
      <c r="B1391" s="1" t="s">
        <v>2864</v>
      </c>
      <c r="C1391" s="15">
        <f>+36706388403</f>
        <v>36706388403</v>
      </c>
      <c r="D1391" s="1">
        <v>3.0</v>
      </c>
      <c r="E1391" s="1">
        <v>2.0</v>
      </c>
      <c r="F1391" s="1">
        <v>28900.0</v>
      </c>
    </row>
    <row r="1392">
      <c r="A1392" s="1" t="s">
        <v>2865</v>
      </c>
      <c r="B1392" s="1" t="s">
        <v>2866</v>
      </c>
      <c r="C1392" s="15">
        <f>+36703113484</f>
        <v>36703113484</v>
      </c>
      <c r="D1392" s="1">
        <v>2.0</v>
      </c>
      <c r="E1392" s="1">
        <v>2.0</v>
      </c>
      <c r="F1392" s="1">
        <v>17000.0</v>
      </c>
    </row>
    <row r="1393">
      <c r="A1393" s="1" t="s">
        <v>2867</v>
      </c>
      <c r="B1393" s="1" t="s">
        <v>2868</v>
      </c>
      <c r="C1393" s="15">
        <f>+36202455170</f>
        <v>36202455170</v>
      </c>
      <c r="D1393" s="1">
        <v>1.0</v>
      </c>
      <c r="E1393" s="1">
        <v>2.0</v>
      </c>
      <c r="F1393" s="1">
        <v>18000.0</v>
      </c>
    </row>
    <row r="1394">
      <c r="A1394" s="1" t="s">
        <v>2869</v>
      </c>
      <c r="B1394" s="1" t="s">
        <v>2870</v>
      </c>
      <c r="C1394" s="15">
        <f>+36203106190</f>
        <v>36203106190</v>
      </c>
      <c r="D1394" s="1">
        <v>1.0</v>
      </c>
      <c r="E1394" s="1">
        <v>2.0</v>
      </c>
      <c r="F1394" s="1">
        <v>26000.0</v>
      </c>
    </row>
    <row r="1395">
      <c r="A1395" s="1" t="s">
        <v>2871</v>
      </c>
      <c r="B1395" s="1" t="s">
        <v>2872</v>
      </c>
      <c r="C1395" s="15">
        <f>+36706654901</f>
        <v>36706654901</v>
      </c>
      <c r="D1395" s="1">
        <v>1.0</v>
      </c>
      <c r="E1395" s="1">
        <v>2.0</v>
      </c>
      <c r="F1395" s="1">
        <v>16200.0</v>
      </c>
    </row>
    <row r="1396">
      <c r="A1396" s="1" t="s">
        <v>2873</v>
      </c>
      <c r="B1396" s="1" t="s">
        <v>2874</v>
      </c>
      <c r="C1396" s="15">
        <f>+36703272033</f>
        <v>36703272033</v>
      </c>
      <c r="D1396" s="1">
        <v>1.0</v>
      </c>
      <c r="E1396" s="1">
        <v>2.0</v>
      </c>
      <c r="F1396" s="1">
        <v>21200.0</v>
      </c>
    </row>
    <row r="1397">
      <c r="A1397" s="1" t="s">
        <v>2875</v>
      </c>
      <c r="B1397" s="1" t="s">
        <v>2876</v>
      </c>
      <c r="C1397" s="15">
        <f>+36203383366</f>
        <v>36203383366</v>
      </c>
      <c r="D1397" s="1">
        <v>2.0</v>
      </c>
      <c r="E1397" s="1">
        <v>2.0</v>
      </c>
      <c r="F1397" s="1">
        <v>15200.0</v>
      </c>
    </row>
    <row r="1398">
      <c r="A1398" s="1" t="s">
        <v>2877</v>
      </c>
      <c r="B1398" s="1" t="s">
        <v>2878</v>
      </c>
      <c r="C1398" s="15">
        <f>+36304858964</f>
        <v>36304858964</v>
      </c>
      <c r="D1398" s="1">
        <v>1.0</v>
      </c>
      <c r="E1398" s="1">
        <v>2.0</v>
      </c>
      <c r="F1398" s="1">
        <v>11600.0</v>
      </c>
    </row>
    <row r="1399">
      <c r="A1399" s="1" t="s">
        <v>2879</v>
      </c>
      <c r="B1399" s="1" t="s">
        <v>2880</v>
      </c>
      <c r="C1399" s="15">
        <f>+36706673152</f>
        <v>36706673152</v>
      </c>
      <c r="D1399" s="1">
        <v>1.0</v>
      </c>
      <c r="E1399" s="1">
        <v>2.0</v>
      </c>
      <c r="F1399" s="1">
        <v>21200.0</v>
      </c>
    </row>
    <row r="1400">
      <c r="A1400" s="1" t="s">
        <v>2881</v>
      </c>
      <c r="B1400" s="1" t="s">
        <v>2882</v>
      </c>
      <c r="C1400" s="15">
        <f>+36208236731</f>
        <v>36208236731</v>
      </c>
      <c r="D1400" s="1">
        <v>1.0</v>
      </c>
      <c r="E1400" s="1">
        <v>2.0</v>
      </c>
      <c r="F1400" s="1">
        <v>26000.0</v>
      </c>
    </row>
    <row r="1401">
      <c r="A1401" s="1" t="s">
        <v>2883</v>
      </c>
      <c r="B1401" s="1" t="s">
        <v>2884</v>
      </c>
      <c r="C1401" s="15">
        <f>+36308489056</f>
        <v>36308489056</v>
      </c>
      <c r="D1401" s="1">
        <v>2.0</v>
      </c>
      <c r="E1401" s="1">
        <v>2.0</v>
      </c>
      <c r="F1401" s="1">
        <v>13800.0</v>
      </c>
    </row>
    <row r="1402">
      <c r="A1402" s="1" t="s">
        <v>2885</v>
      </c>
      <c r="B1402" s="1" t="s">
        <v>2886</v>
      </c>
      <c r="C1402" s="15">
        <f>+40743798645</f>
        <v>40743798645</v>
      </c>
      <c r="D1402" s="1">
        <v>2.0</v>
      </c>
      <c r="E1402" s="1">
        <v>2.0</v>
      </c>
      <c r="F1402" s="1">
        <v>20400.0</v>
      </c>
    </row>
    <row r="1403">
      <c r="A1403" s="1" t="s">
        <v>2887</v>
      </c>
      <c r="B1403" s="1" t="s">
        <v>2888</v>
      </c>
      <c r="C1403" s="15">
        <f>+36202218700</f>
        <v>36202218700</v>
      </c>
      <c r="D1403" s="1">
        <v>2.0</v>
      </c>
      <c r="E1403" s="1">
        <v>2.0</v>
      </c>
      <c r="F1403" s="1">
        <v>22400.0</v>
      </c>
    </row>
    <row r="1404">
      <c r="A1404" s="1" t="s">
        <v>2889</v>
      </c>
      <c r="B1404" s="1" t="s">
        <v>2890</v>
      </c>
      <c r="C1404" s="15">
        <f>+36309536736</f>
        <v>36309536736</v>
      </c>
      <c r="D1404" s="1">
        <v>2.0</v>
      </c>
      <c r="E1404" s="1">
        <v>2.0</v>
      </c>
      <c r="F1404" s="1">
        <v>24800.0</v>
      </c>
    </row>
    <row r="1405">
      <c r="A1405" s="1" t="s">
        <v>2891</v>
      </c>
      <c r="B1405" s="1" t="s">
        <v>2892</v>
      </c>
      <c r="C1405" s="15">
        <f>+36205922334</f>
        <v>36205922334</v>
      </c>
      <c r="D1405" s="1">
        <v>2.0</v>
      </c>
      <c r="E1405" s="1">
        <v>2.0</v>
      </c>
      <c r="F1405" s="1">
        <v>40000.0</v>
      </c>
    </row>
    <row r="1406">
      <c r="A1406" s="1" t="s">
        <v>2893</v>
      </c>
      <c r="B1406" s="1" t="s">
        <v>2894</v>
      </c>
      <c r="C1406" s="15">
        <f>+36202582397</f>
        <v>36202582397</v>
      </c>
      <c r="D1406" s="1">
        <v>2.0</v>
      </c>
      <c r="E1406" s="1">
        <v>2.0</v>
      </c>
      <c r="F1406" s="1">
        <v>19800.0</v>
      </c>
    </row>
    <row r="1407">
      <c r="A1407" s="1" t="s">
        <v>2895</v>
      </c>
      <c r="B1407" s="1" t="s">
        <v>2896</v>
      </c>
      <c r="C1407" s="15">
        <f>+36205934626</f>
        <v>36205934626</v>
      </c>
      <c r="D1407" s="1">
        <v>2.0</v>
      </c>
      <c r="E1407" s="1">
        <v>2.0</v>
      </c>
      <c r="F1407" s="1">
        <v>16800.0</v>
      </c>
    </row>
    <row r="1408">
      <c r="A1408" s="1" t="s">
        <v>2897</v>
      </c>
      <c r="B1408" s="1" t="s">
        <v>2898</v>
      </c>
      <c r="C1408" s="15">
        <f>+36317822204</f>
        <v>36317822204</v>
      </c>
      <c r="D1408" s="1">
        <v>1.0</v>
      </c>
      <c r="E1408" s="1">
        <v>2.0</v>
      </c>
      <c r="F1408" s="1">
        <v>26000.0</v>
      </c>
    </row>
    <row r="1409">
      <c r="A1409" s="1" t="s">
        <v>2899</v>
      </c>
      <c r="B1409" s="1" t="s">
        <v>2900</v>
      </c>
      <c r="C1409" s="15">
        <f>+36300845333</f>
        <v>36300845333</v>
      </c>
      <c r="D1409" s="1">
        <v>2.0</v>
      </c>
      <c r="E1409" s="1">
        <v>2.0</v>
      </c>
      <c r="F1409" s="1">
        <v>19900.0</v>
      </c>
    </row>
    <row r="1410">
      <c r="A1410" s="1" t="s">
        <v>2901</v>
      </c>
      <c r="B1410" s="1" t="s">
        <v>2902</v>
      </c>
      <c r="C1410" s="15">
        <f>+36305676811</f>
        <v>36305676811</v>
      </c>
      <c r="D1410" s="1">
        <v>2.0</v>
      </c>
      <c r="E1410" s="1">
        <v>2.0</v>
      </c>
      <c r="F1410" s="1">
        <v>24700.0</v>
      </c>
    </row>
    <row r="1411">
      <c r="A1411" s="1" t="s">
        <v>2903</v>
      </c>
      <c r="B1411" s="1" t="s">
        <v>2904</v>
      </c>
      <c r="C1411" s="15">
        <f>+36707970459</f>
        <v>36707970459</v>
      </c>
      <c r="D1411" s="1">
        <v>2.0</v>
      </c>
      <c r="E1411" s="1">
        <v>2.0</v>
      </c>
      <c r="F1411" s="1">
        <v>17000.0</v>
      </c>
    </row>
    <row r="1412">
      <c r="A1412" s="1" t="s">
        <v>2905</v>
      </c>
      <c r="B1412" s="1" t="s">
        <v>2906</v>
      </c>
      <c r="C1412" s="15">
        <f>+36703176929</f>
        <v>36703176929</v>
      </c>
      <c r="D1412" s="1">
        <v>1.0</v>
      </c>
      <c r="E1412" s="1">
        <v>2.0</v>
      </c>
      <c r="F1412" s="1">
        <v>33800.0</v>
      </c>
    </row>
    <row r="1413">
      <c r="A1413" s="1" t="s">
        <v>2907</v>
      </c>
      <c r="B1413" s="1" t="s">
        <v>2908</v>
      </c>
      <c r="C1413" s="15">
        <f>+36703654059</f>
        <v>36703654059</v>
      </c>
      <c r="D1413" s="1">
        <v>2.0</v>
      </c>
      <c r="E1413" s="1">
        <v>2.0</v>
      </c>
      <c r="F1413" s="1">
        <v>11300.0</v>
      </c>
    </row>
    <row r="1414">
      <c r="A1414" s="1" t="s">
        <v>2909</v>
      </c>
      <c r="B1414" s="1" t="s">
        <v>2910</v>
      </c>
      <c r="C1414" s="15">
        <f>+36202135054</f>
        <v>36202135054</v>
      </c>
      <c r="D1414" s="1">
        <v>2.0</v>
      </c>
      <c r="E1414" s="1">
        <v>2.0</v>
      </c>
      <c r="F1414" s="1">
        <v>17800.0</v>
      </c>
    </row>
    <row r="1415">
      <c r="A1415" s="1" t="s">
        <v>2911</v>
      </c>
      <c r="B1415" s="1" t="s">
        <v>2912</v>
      </c>
      <c r="C1415" s="15">
        <f>+36308721167</f>
        <v>36308721167</v>
      </c>
      <c r="D1415" s="1">
        <v>1.0</v>
      </c>
      <c r="E1415" s="1">
        <v>2.0</v>
      </c>
      <c r="F1415" s="1">
        <v>18000.0</v>
      </c>
    </row>
    <row r="1416">
      <c r="A1416" s="1" t="s">
        <v>2913</v>
      </c>
      <c r="B1416" s="1" t="s">
        <v>2914</v>
      </c>
      <c r="C1416" s="15">
        <f>+36706138704</f>
        <v>36706138704</v>
      </c>
      <c r="D1416" s="1">
        <v>1.0</v>
      </c>
      <c r="E1416" s="1">
        <v>2.0</v>
      </c>
      <c r="F1416" s="1">
        <v>26000.0</v>
      </c>
    </row>
    <row r="1417">
      <c r="A1417" s="1" t="s">
        <v>2915</v>
      </c>
      <c r="B1417" s="1" t="s">
        <v>2916</v>
      </c>
      <c r="C1417" s="15">
        <f>+36203600703</f>
        <v>36203600703</v>
      </c>
      <c r="D1417" s="1">
        <v>2.0</v>
      </c>
      <c r="E1417" s="1">
        <v>2.0</v>
      </c>
      <c r="F1417" s="1">
        <v>19600.0</v>
      </c>
    </row>
    <row r="1418">
      <c r="A1418" s="1" t="s">
        <v>2917</v>
      </c>
      <c r="B1418" s="1" t="s">
        <v>2918</v>
      </c>
      <c r="C1418" s="15">
        <f>+36703718300</f>
        <v>36703718300</v>
      </c>
      <c r="D1418" s="1">
        <v>2.0</v>
      </c>
      <c r="E1418" s="1">
        <v>2.0</v>
      </c>
      <c r="F1418" s="1">
        <v>18700.0</v>
      </c>
    </row>
    <row r="1419">
      <c r="A1419" s="1" t="s">
        <v>2919</v>
      </c>
      <c r="B1419" s="1" t="s">
        <v>2920</v>
      </c>
      <c r="C1419" s="15">
        <f>+36305758017</f>
        <v>36305758017</v>
      </c>
      <c r="D1419" s="1">
        <v>2.0</v>
      </c>
      <c r="E1419" s="1">
        <v>2.0</v>
      </c>
      <c r="F1419" s="1">
        <v>19600.0</v>
      </c>
    </row>
    <row r="1420">
      <c r="A1420" s="1" t="s">
        <v>2921</v>
      </c>
      <c r="B1420" s="1" t="s">
        <v>2922</v>
      </c>
      <c r="C1420" s="15">
        <f>+36306808572</f>
        <v>36306808572</v>
      </c>
      <c r="D1420" s="1">
        <v>1.0</v>
      </c>
      <c r="E1420" s="1">
        <v>2.0</v>
      </c>
      <c r="F1420" s="1">
        <v>16200.0</v>
      </c>
    </row>
    <row r="1421">
      <c r="A1421" s="1" t="s">
        <v>2923</v>
      </c>
      <c r="B1421" s="1" t="s">
        <v>2924</v>
      </c>
      <c r="C1421" s="15">
        <f>+36307034304</f>
        <v>36307034304</v>
      </c>
      <c r="D1421" s="1">
        <v>2.0</v>
      </c>
      <c r="E1421" s="1">
        <v>2.0</v>
      </c>
      <c r="F1421" s="1">
        <v>25200.0</v>
      </c>
    </row>
    <row r="1422">
      <c r="A1422" s="1" t="s">
        <v>2925</v>
      </c>
      <c r="B1422" s="1" t="s">
        <v>2926</v>
      </c>
      <c r="C1422" s="15">
        <f>+36301111111</f>
        <v>36301111111</v>
      </c>
      <c r="D1422" s="1">
        <v>2.0</v>
      </c>
      <c r="E1422" s="1">
        <v>2.0</v>
      </c>
      <c r="F1422" s="1">
        <v>26900.0</v>
      </c>
    </row>
    <row r="1423">
      <c r="A1423" s="1" t="s">
        <v>2927</v>
      </c>
      <c r="B1423" s="1" t="s">
        <v>2928</v>
      </c>
      <c r="C1423" s="15">
        <f>+36301901455</f>
        <v>36301901455</v>
      </c>
      <c r="D1423" s="1">
        <v>2.0</v>
      </c>
      <c r="E1423" s="1">
        <v>2.0</v>
      </c>
      <c r="F1423" s="1">
        <v>21400.0</v>
      </c>
    </row>
    <row r="1424">
      <c r="A1424" s="1" t="s">
        <v>2929</v>
      </c>
      <c r="B1424" s="1" t="s">
        <v>2930</v>
      </c>
      <c r="C1424" s="15">
        <f>+36308300447</f>
        <v>36308300447</v>
      </c>
      <c r="D1424" s="1">
        <v>3.0</v>
      </c>
      <c r="E1424" s="1">
        <v>2.0</v>
      </c>
      <c r="F1424" s="1">
        <v>30800.0</v>
      </c>
    </row>
    <row r="1425">
      <c r="A1425" s="1" t="s">
        <v>2931</v>
      </c>
      <c r="B1425" s="1" t="s">
        <v>2932</v>
      </c>
      <c r="C1425" s="15">
        <f>+36302795561</f>
        <v>36302795561</v>
      </c>
      <c r="D1425" s="1">
        <v>1.0</v>
      </c>
      <c r="E1425" s="1">
        <v>2.0</v>
      </c>
      <c r="F1425" s="1">
        <v>4800.0</v>
      </c>
    </row>
    <row r="1426">
      <c r="A1426" s="1" t="s">
        <v>2933</v>
      </c>
      <c r="B1426" s="1" t="s">
        <v>2934</v>
      </c>
      <c r="C1426" s="15">
        <f>+36203730586</f>
        <v>36203730586</v>
      </c>
      <c r="D1426" s="1">
        <v>2.0</v>
      </c>
      <c r="E1426" s="1">
        <v>2.0</v>
      </c>
      <c r="F1426" s="1">
        <v>16900.0</v>
      </c>
    </row>
    <row r="1427">
      <c r="A1427" s="1" t="s">
        <v>2935</v>
      </c>
      <c r="B1427" s="1" t="s">
        <v>2936</v>
      </c>
      <c r="C1427" s="15">
        <f>+40724526579</f>
        <v>40724526579</v>
      </c>
      <c r="D1427" s="1">
        <v>1.0</v>
      </c>
      <c r="E1427" s="1">
        <v>2.0</v>
      </c>
      <c r="F1427" s="1">
        <v>26000.0</v>
      </c>
    </row>
    <row r="1428">
      <c r="A1428" s="1" t="s">
        <v>2937</v>
      </c>
      <c r="B1428" s="1" t="s">
        <v>2938</v>
      </c>
      <c r="C1428" s="15">
        <f>+36203911714</f>
        <v>36203911714</v>
      </c>
      <c r="D1428" s="1">
        <v>2.0</v>
      </c>
      <c r="E1428" s="1">
        <v>2.0</v>
      </c>
      <c r="F1428" s="1">
        <v>12800.0</v>
      </c>
    </row>
    <row r="1429">
      <c r="A1429" s="1" t="s">
        <v>2939</v>
      </c>
      <c r="B1429" s="1" t="s">
        <v>2940</v>
      </c>
      <c r="C1429" s="15">
        <f>+36706150120</f>
        <v>36706150120</v>
      </c>
      <c r="D1429" s="1">
        <v>2.0</v>
      </c>
      <c r="E1429" s="1">
        <v>2.0</v>
      </c>
      <c r="F1429" s="1">
        <v>14200.0</v>
      </c>
    </row>
    <row r="1430">
      <c r="A1430" s="1" t="s">
        <v>2941</v>
      </c>
      <c r="B1430" s="1" t="s">
        <v>2942</v>
      </c>
      <c r="C1430" s="15">
        <f>+36309550515</f>
        <v>36309550515</v>
      </c>
      <c r="D1430" s="1">
        <v>1.0</v>
      </c>
      <c r="E1430" s="1">
        <v>2.0</v>
      </c>
      <c r="F1430" s="1">
        <v>31600.0</v>
      </c>
    </row>
    <row r="1431">
      <c r="A1431" s="1" t="s">
        <v>2943</v>
      </c>
      <c r="B1431" s="1" t="s">
        <v>2944</v>
      </c>
      <c r="C1431" s="15">
        <f>+36305646509</f>
        <v>36305646509</v>
      </c>
      <c r="D1431" s="1">
        <v>4.0</v>
      </c>
      <c r="E1431" s="1">
        <v>2.0</v>
      </c>
      <c r="F1431" s="1">
        <v>20300.0</v>
      </c>
    </row>
    <row r="1432">
      <c r="A1432" s="1" t="s">
        <v>2945</v>
      </c>
      <c r="B1432" s="1" t="s">
        <v>2946</v>
      </c>
      <c r="C1432" s="15">
        <f>+36303261991</f>
        <v>36303261991</v>
      </c>
      <c r="D1432" s="1">
        <v>2.0</v>
      </c>
      <c r="E1432" s="1">
        <v>2.0</v>
      </c>
      <c r="F1432" s="1">
        <v>17700.0</v>
      </c>
    </row>
    <row r="1433">
      <c r="A1433" s="1" t="s">
        <v>2947</v>
      </c>
      <c r="B1433" s="1" t="s">
        <v>2948</v>
      </c>
      <c r="C1433" s="15">
        <f>+38640522713</f>
        <v>38640522713</v>
      </c>
      <c r="D1433" s="1">
        <v>3.0</v>
      </c>
      <c r="E1433" s="1">
        <v>2.0</v>
      </c>
      <c r="F1433" s="1">
        <v>29900.0</v>
      </c>
    </row>
    <row r="1434">
      <c r="A1434" s="1" t="s">
        <v>2949</v>
      </c>
      <c r="B1434" s="1" t="s">
        <v>2950</v>
      </c>
      <c r="C1434" s="15">
        <f>+36304805529</f>
        <v>36304805529</v>
      </c>
      <c r="D1434" s="1">
        <v>2.0</v>
      </c>
      <c r="E1434" s="1">
        <v>2.0</v>
      </c>
      <c r="F1434" s="1">
        <v>22500.0</v>
      </c>
    </row>
    <row r="1435">
      <c r="A1435" s="1" t="s">
        <v>2951</v>
      </c>
      <c r="B1435" s="1" t="s">
        <v>2952</v>
      </c>
      <c r="C1435" s="15">
        <f>+36703642954</f>
        <v>36703642954</v>
      </c>
      <c r="D1435" s="1">
        <v>2.0</v>
      </c>
      <c r="E1435" s="1">
        <v>2.0</v>
      </c>
      <c r="F1435" s="1">
        <v>22300.0</v>
      </c>
    </row>
    <row r="1436">
      <c r="A1436" s="1" t="s">
        <v>2953</v>
      </c>
      <c r="B1436" s="1" t="s">
        <v>2954</v>
      </c>
      <c r="C1436" s="15">
        <f>+36206193323</f>
        <v>36206193323</v>
      </c>
      <c r="D1436" s="1">
        <v>2.0</v>
      </c>
      <c r="E1436" s="1">
        <v>2.0</v>
      </c>
      <c r="F1436" s="1">
        <v>24800.0</v>
      </c>
    </row>
    <row r="1437">
      <c r="A1437" s="1" t="s">
        <v>2955</v>
      </c>
      <c r="B1437" s="1" t="s">
        <v>2956</v>
      </c>
      <c r="C1437" s="15">
        <f>+36703062392</f>
        <v>36703062392</v>
      </c>
      <c r="D1437" s="1">
        <v>3.0</v>
      </c>
      <c r="E1437" s="1">
        <v>2.0</v>
      </c>
      <c r="F1437" s="1">
        <v>29900.0</v>
      </c>
    </row>
    <row r="1438">
      <c r="A1438" s="1" t="s">
        <v>2957</v>
      </c>
      <c r="B1438" s="1" t="s">
        <v>2958</v>
      </c>
      <c r="C1438" s="15">
        <f>+36704364741</f>
        <v>36704364741</v>
      </c>
      <c r="D1438" s="1">
        <v>2.0</v>
      </c>
      <c r="E1438" s="1">
        <v>2.0</v>
      </c>
      <c r="F1438" s="1">
        <v>21600.0</v>
      </c>
    </row>
    <row r="1439">
      <c r="A1439" s="1" t="s">
        <v>2959</v>
      </c>
      <c r="B1439" s="1" t="s">
        <v>2960</v>
      </c>
      <c r="C1439" s="15">
        <f>+36205968056</f>
        <v>36205968056</v>
      </c>
      <c r="D1439" s="1">
        <v>3.0</v>
      </c>
      <c r="E1439" s="1">
        <v>2.0</v>
      </c>
      <c r="F1439" s="1">
        <v>16100.0</v>
      </c>
    </row>
    <row r="1440">
      <c r="A1440" s="1" t="s">
        <v>2961</v>
      </c>
      <c r="B1440" s="1" t="s">
        <v>2962</v>
      </c>
      <c r="C1440" s="15">
        <f>+36707238016</f>
        <v>36707238016</v>
      </c>
      <c r="D1440" s="1">
        <v>4.0</v>
      </c>
      <c r="E1440" s="1">
        <v>2.0</v>
      </c>
      <c r="F1440" s="1">
        <v>17100.0</v>
      </c>
    </row>
    <row r="1441">
      <c r="A1441" s="1" t="s">
        <v>2963</v>
      </c>
      <c r="B1441" s="1" t="s">
        <v>2964</v>
      </c>
      <c r="C1441" s="15">
        <f>+36701986062</f>
        <v>36701986062</v>
      </c>
      <c r="D1441" s="1">
        <v>1.0</v>
      </c>
      <c r="E1441" s="1">
        <v>2.0</v>
      </c>
      <c r="F1441" s="1">
        <v>19600.0</v>
      </c>
    </row>
    <row r="1442">
      <c r="A1442" s="1" t="s">
        <v>2965</v>
      </c>
      <c r="B1442" s="1" t="s">
        <v>2966</v>
      </c>
      <c r="C1442" s="15">
        <f>+36202837114</f>
        <v>36202837114</v>
      </c>
      <c r="D1442" s="1">
        <v>2.0</v>
      </c>
      <c r="E1442" s="1">
        <v>2.0</v>
      </c>
      <c r="F1442" s="1">
        <v>20300.0</v>
      </c>
    </row>
    <row r="1443">
      <c r="A1443" s="1" t="s">
        <v>2967</v>
      </c>
      <c r="B1443" s="1" t="s">
        <v>2968</v>
      </c>
      <c r="C1443" s="15">
        <f>+36306453722</f>
        <v>36306453722</v>
      </c>
      <c r="D1443" s="1">
        <v>1.0</v>
      </c>
      <c r="E1443" s="1">
        <v>2.0</v>
      </c>
      <c r="F1443" s="1">
        <v>26000.0</v>
      </c>
    </row>
    <row r="1444">
      <c r="A1444" s="1" t="s">
        <v>2969</v>
      </c>
      <c r="B1444" s="1" t="s">
        <v>2970</v>
      </c>
      <c r="C1444" s="15">
        <f>+36205266979</f>
        <v>36205266979</v>
      </c>
      <c r="D1444" s="1">
        <v>2.0</v>
      </c>
      <c r="E1444" s="1">
        <v>2.0</v>
      </c>
      <c r="F1444" s="1">
        <v>15100.0</v>
      </c>
    </row>
    <row r="1445">
      <c r="A1445" s="1" t="s">
        <v>2971</v>
      </c>
      <c r="B1445" s="1" t="s">
        <v>2972</v>
      </c>
      <c r="C1445" s="15">
        <f>+36202346299</f>
        <v>36202346299</v>
      </c>
      <c r="D1445" s="1">
        <v>2.0</v>
      </c>
      <c r="E1445" s="1">
        <v>2.0</v>
      </c>
      <c r="F1445" s="1">
        <v>19900.0</v>
      </c>
    </row>
    <row r="1446">
      <c r="A1446" s="1" t="s">
        <v>2973</v>
      </c>
      <c r="B1446" s="1" t="s">
        <v>2974</v>
      </c>
      <c r="C1446" s="15">
        <f>+48453402955</f>
        <v>48453402955</v>
      </c>
      <c r="D1446" s="1">
        <v>1.0</v>
      </c>
      <c r="E1446" s="1">
        <v>2.0</v>
      </c>
      <c r="F1446" s="1">
        <v>51800.0</v>
      </c>
    </row>
    <row r="1447">
      <c r="A1447" s="1" t="s">
        <v>2975</v>
      </c>
      <c r="B1447" s="1" t="s">
        <v>2976</v>
      </c>
      <c r="C1447" s="15">
        <f>+36704020288</f>
        <v>36704020288</v>
      </c>
      <c r="D1447" s="1">
        <v>1.0</v>
      </c>
      <c r="E1447" s="1">
        <v>2.0</v>
      </c>
      <c r="F1447" s="1">
        <v>16200.0</v>
      </c>
    </row>
    <row r="1448">
      <c r="A1448" s="1" t="s">
        <v>2977</v>
      </c>
      <c r="B1448" s="1" t="s">
        <v>2978</v>
      </c>
      <c r="C1448" s="15">
        <f>+36307465002</f>
        <v>36307465002</v>
      </c>
      <c r="D1448" s="1">
        <v>2.0</v>
      </c>
      <c r="E1448" s="1">
        <v>2.0</v>
      </c>
      <c r="F1448" s="1">
        <v>26200.0</v>
      </c>
    </row>
    <row r="1449">
      <c r="A1449" s="1" t="s">
        <v>2979</v>
      </c>
      <c r="B1449" s="1" t="s">
        <v>2980</v>
      </c>
      <c r="C1449" s="15">
        <f>+36306130001</f>
        <v>36306130001</v>
      </c>
      <c r="D1449" s="1">
        <v>2.0</v>
      </c>
      <c r="E1449" s="1">
        <v>2.0</v>
      </c>
      <c r="F1449" s="1">
        <v>35500.0</v>
      </c>
    </row>
    <row r="1450">
      <c r="A1450" s="1" t="s">
        <v>2981</v>
      </c>
      <c r="B1450" s="1" t="s">
        <v>2982</v>
      </c>
      <c r="C1450" s="15">
        <f>+36703246887</f>
        <v>36703246887</v>
      </c>
      <c r="D1450" s="1">
        <v>2.0</v>
      </c>
      <c r="E1450" s="1">
        <v>2.0</v>
      </c>
      <c r="F1450" s="1">
        <v>35100.0</v>
      </c>
    </row>
    <row r="1451">
      <c r="A1451" s="1" t="s">
        <v>2983</v>
      </c>
      <c r="B1451" s="1" t="s">
        <v>2984</v>
      </c>
      <c r="C1451" s="15">
        <f>+36204535951</f>
        <v>36204535951</v>
      </c>
      <c r="D1451" s="1">
        <v>1.0</v>
      </c>
      <c r="E1451" s="1">
        <v>2.0</v>
      </c>
      <c r="F1451" s="1">
        <v>14200.0</v>
      </c>
    </row>
    <row r="1452">
      <c r="A1452" s="1" t="s">
        <v>2985</v>
      </c>
      <c r="B1452" s="1" t="s">
        <v>2986</v>
      </c>
      <c r="C1452" s="15">
        <f>+36308595157</f>
        <v>36308595157</v>
      </c>
      <c r="D1452" s="1">
        <v>2.0</v>
      </c>
      <c r="E1452" s="1">
        <v>2.0</v>
      </c>
      <c r="F1452" s="1">
        <v>22800.0</v>
      </c>
    </row>
    <row r="1453">
      <c r="A1453" s="1" t="s">
        <v>2987</v>
      </c>
      <c r="B1453" s="1" t="s">
        <v>2988</v>
      </c>
      <c r="C1453" s="15">
        <f>+380980143574</f>
        <v>380980143574</v>
      </c>
      <c r="D1453" s="1">
        <v>1.0</v>
      </c>
      <c r="E1453" s="1">
        <v>2.0</v>
      </c>
      <c r="F1453" s="1">
        <v>31600.0</v>
      </c>
    </row>
    <row r="1454">
      <c r="A1454" s="1" t="s">
        <v>2989</v>
      </c>
      <c r="B1454" s="1" t="s">
        <v>2990</v>
      </c>
      <c r="C1454" s="15">
        <f>+36709459982</f>
        <v>36709459982</v>
      </c>
      <c r="D1454" s="1">
        <v>2.0</v>
      </c>
      <c r="E1454" s="1">
        <v>2.0</v>
      </c>
      <c r="F1454" s="1">
        <v>35000.0</v>
      </c>
    </row>
    <row r="1455">
      <c r="A1455" s="1" t="s">
        <v>2991</v>
      </c>
      <c r="B1455" s="1" t="s">
        <v>2992</v>
      </c>
      <c r="C1455" s="15">
        <f>+36209344690</f>
        <v>36209344690</v>
      </c>
      <c r="D1455" s="1">
        <v>1.0</v>
      </c>
      <c r="E1455" s="1">
        <v>2.0</v>
      </c>
      <c r="F1455" s="1">
        <v>26000.0</v>
      </c>
    </row>
    <row r="1456">
      <c r="A1456" s="1" t="s">
        <v>2993</v>
      </c>
      <c r="B1456" s="1" t="s">
        <v>2994</v>
      </c>
      <c r="C1456" s="15">
        <f>+36302069018</f>
        <v>36302069018</v>
      </c>
      <c r="D1456" s="1">
        <v>3.0</v>
      </c>
      <c r="E1456" s="1">
        <v>2.0</v>
      </c>
      <c r="F1456" s="1">
        <v>29500.0</v>
      </c>
    </row>
    <row r="1457">
      <c r="A1457" s="1" t="s">
        <v>2995</v>
      </c>
      <c r="B1457" s="1" t="s">
        <v>2996</v>
      </c>
      <c r="C1457" s="15">
        <f>+380505969392</f>
        <v>380505969392</v>
      </c>
      <c r="D1457" s="1">
        <v>1.0</v>
      </c>
      <c r="E1457" s="1">
        <v>2.0</v>
      </c>
      <c r="F1457" s="1">
        <v>39600.0</v>
      </c>
    </row>
    <row r="1458">
      <c r="A1458" s="1" t="s">
        <v>2997</v>
      </c>
      <c r="B1458" s="1" t="s">
        <v>2998</v>
      </c>
      <c r="C1458" s="15">
        <f>+36703981250</f>
        <v>36703981250</v>
      </c>
      <c r="D1458" s="1">
        <v>2.0</v>
      </c>
      <c r="E1458" s="1">
        <v>2.0</v>
      </c>
      <c r="F1458" s="1">
        <v>22200.0</v>
      </c>
    </row>
    <row r="1459">
      <c r="A1459" s="1" t="s">
        <v>2999</v>
      </c>
      <c r="B1459" s="1" t="s">
        <v>3000</v>
      </c>
      <c r="C1459" s="15">
        <f>+36303506166</f>
        <v>36303506166</v>
      </c>
      <c r="D1459" s="1">
        <v>2.0</v>
      </c>
      <c r="E1459" s="1">
        <v>2.0</v>
      </c>
      <c r="F1459" s="1">
        <v>26900.0</v>
      </c>
    </row>
    <row r="1460">
      <c r="A1460" s="1" t="s">
        <v>3001</v>
      </c>
      <c r="B1460" s="1" t="s">
        <v>3002</v>
      </c>
      <c r="C1460" s="15">
        <f>+36307561262</f>
        <v>36307561262</v>
      </c>
      <c r="D1460" s="1">
        <v>2.0</v>
      </c>
      <c r="E1460" s="1">
        <v>2.0</v>
      </c>
      <c r="F1460" s="1">
        <v>18800.0</v>
      </c>
    </row>
    <row r="1461">
      <c r="A1461" s="1" t="s">
        <v>3003</v>
      </c>
      <c r="B1461" s="1" t="s">
        <v>3004</v>
      </c>
      <c r="C1461" s="15">
        <f>+36205567266</f>
        <v>36205567266</v>
      </c>
      <c r="D1461" s="1">
        <v>2.0</v>
      </c>
      <c r="E1461" s="1">
        <v>2.0</v>
      </c>
      <c r="F1461" s="1">
        <v>16100.0</v>
      </c>
    </row>
    <row r="1462">
      <c r="A1462" s="1" t="s">
        <v>3005</v>
      </c>
      <c r="B1462" s="1" t="s">
        <v>3006</v>
      </c>
      <c r="C1462" s="15">
        <f>+36302927014</f>
        <v>36302927014</v>
      </c>
      <c r="D1462" s="1">
        <v>1.0</v>
      </c>
      <c r="E1462" s="1">
        <v>2.0</v>
      </c>
      <c r="F1462" s="1">
        <v>18800.0</v>
      </c>
    </row>
    <row r="1463">
      <c r="A1463" s="1" t="s">
        <v>3007</v>
      </c>
      <c r="B1463" s="1" t="s">
        <v>3008</v>
      </c>
      <c r="C1463" s="15">
        <f>+36309463224</f>
        <v>36309463224</v>
      </c>
      <c r="D1463" s="1">
        <v>2.0</v>
      </c>
      <c r="E1463" s="1">
        <v>2.0</v>
      </c>
      <c r="F1463" s="1">
        <v>27700.0</v>
      </c>
    </row>
    <row r="1464">
      <c r="A1464" s="1" t="s">
        <v>3009</v>
      </c>
      <c r="B1464" s="1" t="s">
        <v>3010</v>
      </c>
      <c r="C1464" s="15">
        <f>+36705313102</f>
        <v>36705313102</v>
      </c>
      <c r="D1464" s="1">
        <v>2.0</v>
      </c>
      <c r="E1464" s="1">
        <v>2.0</v>
      </c>
      <c r="F1464" s="1">
        <v>18700.0</v>
      </c>
    </row>
    <row r="1465">
      <c r="A1465" s="1" t="s">
        <v>3011</v>
      </c>
      <c r="B1465" s="1" t="s">
        <v>3012</v>
      </c>
      <c r="C1465" s="15">
        <f>+36205502441</f>
        <v>36205502441</v>
      </c>
      <c r="D1465" s="1">
        <v>2.0</v>
      </c>
      <c r="E1465" s="1">
        <v>2.0</v>
      </c>
      <c r="F1465" s="1">
        <v>21400.0</v>
      </c>
    </row>
    <row r="1466">
      <c r="A1466" s="1" t="s">
        <v>3013</v>
      </c>
      <c r="B1466" s="1" t="s">
        <v>3014</v>
      </c>
      <c r="C1466" s="15">
        <f>+36707438375</f>
        <v>36707438375</v>
      </c>
      <c r="D1466" s="1">
        <v>4.0</v>
      </c>
      <c r="E1466" s="1">
        <v>2.0</v>
      </c>
      <c r="F1466" s="1">
        <v>36900.0</v>
      </c>
    </row>
    <row r="1467">
      <c r="A1467" s="1" t="s">
        <v>3015</v>
      </c>
      <c r="B1467" s="1" t="s">
        <v>3016</v>
      </c>
      <c r="C1467" s="15">
        <f>+36309299291</f>
        <v>36309299291</v>
      </c>
      <c r="D1467" s="1">
        <v>1.0</v>
      </c>
      <c r="E1467" s="1">
        <v>2.0</v>
      </c>
      <c r="F1467" s="1">
        <v>27600.0</v>
      </c>
    </row>
    <row r="1468">
      <c r="A1468" s="1" t="s">
        <v>3017</v>
      </c>
      <c r="B1468" s="1" t="s">
        <v>3018</v>
      </c>
      <c r="C1468" s="15">
        <f>+36309376938</f>
        <v>36309376938</v>
      </c>
      <c r="D1468" s="1">
        <v>2.0</v>
      </c>
      <c r="E1468" s="1">
        <v>2.0</v>
      </c>
      <c r="F1468" s="1">
        <v>17000.0</v>
      </c>
    </row>
    <row r="1469">
      <c r="A1469" s="1" t="s">
        <v>3019</v>
      </c>
      <c r="B1469" s="1" t="s">
        <v>3020</v>
      </c>
      <c r="C1469" s="15">
        <f>+36303608191</f>
        <v>36303608191</v>
      </c>
      <c r="D1469" s="1">
        <v>2.0</v>
      </c>
      <c r="E1469" s="1">
        <v>2.0</v>
      </c>
      <c r="F1469" s="1">
        <v>32200.0</v>
      </c>
    </row>
    <row r="1470">
      <c r="A1470" s="1" t="s">
        <v>3021</v>
      </c>
      <c r="B1470" s="1" t="s">
        <v>3022</v>
      </c>
      <c r="C1470" s="15">
        <f>+36705090713</f>
        <v>36705090713</v>
      </c>
      <c r="D1470" s="1">
        <v>2.0</v>
      </c>
      <c r="E1470" s="1">
        <v>2.0</v>
      </c>
      <c r="F1470" s="1">
        <v>11100.0</v>
      </c>
    </row>
    <row r="1471">
      <c r="A1471" s="1" t="s">
        <v>3023</v>
      </c>
      <c r="B1471" s="1" t="s">
        <v>3024</v>
      </c>
      <c r="C1471" s="15">
        <f>+36304149966</f>
        <v>36304149966</v>
      </c>
      <c r="D1471" s="1">
        <v>2.0</v>
      </c>
      <c r="E1471" s="1">
        <v>2.0</v>
      </c>
      <c r="F1471" s="1">
        <v>10500.0</v>
      </c>
    </row>
    <row r="1472">
      <c r="A1472" s="1" t="s">
        <v>3025</v>
      </c>
      <c r="B1472" s="1" t="s">
        <v>3026</v>
      </c>
      <c r="C1472" s="15">
        <f>+421918220246</f>
        <v>421918220246</v>
      </c>
      <c r="D1472" s="1">
        <v>4.0</v>
      </c>
      <c r="E1472" s="1">
        <v>2.0</v>
      </c>
      <c r="F1472" s="1">
        <v>27500.0</v>
      </c>
    </row>
    <row r="1473">
      <c r="A1473" s="1" t="s">
        <v>3027</v>
      </c>
      <c r="B1473" s="1" t="s">
        <v>3028</v>
      </c>
      <c r="C1473" s="15">
        <f>+36703629656</f>
        <v>36703629656</v>
      </c>
      <c r="D1473" s="1">
        <v>2.0</v>
      </c>
      <c r="E1473" s="1">
        <v>2.0</v>
      </c>
      <c r="F1473" s="1">
        <v>31700.0</v>
      </c>
    </row>
    <row r="1474">
      <c r="A1474" s="1" t="s">
        <v>3029</v>
      </c>
      <c r="B1474" s="1" t="s">
        <v>3030</v>
      </c>
      <c r="C1474" s="15">
        <f>+36706156804</f>
        <v>36706156804</v>
      </c>
      <c r="D1474" s="1">
        <v>2.0</v>
      </c>
      <c r="E1474" s="1">
        <v>2.0</v>
      </c>
      <c r="F1474" s="1">
        <v>22200.0</v>
      </c>
    </row>
    <row r="1475">
      <c r="A1475" s="1" t="s">
        <v>3031</v>
      </c>
      <c r="B1475" s="1" t="s">
        <v>3032</v>
      </c>
      <c r="C1475" s="15">
        <f>+36205660590</f>
        <v>36205660590</v>
      </c>
      <c r="D1475" s="1">
        <v>2.0</v>
      </c>
      <c r="E1475" s="1">
        <v>2.0</v>
      </c>
      <c r="F1475" s="1">
        <v>23700.0</v>
      </c>
    </row>
    <row r="1476">
      <c r="A1476" s="1" t="s">
        <v>3033</v>
      </c>
      <c r="B1476" s="1" t="s">
        <v>3034</v>
      </c>
      <c r="C1476" s="15">
        <f>+36705962130</f>
        <v>36705962130</v>
      </c>
      <c r="D1476" s="1">
        <v>2.0</v>
      </c>
      <c r="E1476" s="1">
        <v>2.0</v>
      </c>
      <c r="F1476" s="1">
        <v>18900.0</v>
      </c>
    </row>
    <row r="1477">
      <c r="A1477" s="1" t="s">
        <v>3035</v>
      </c>
      <c r="B1477" s="1" t="s">
        <v>3036</v>
      </c>
      <c r="C1477" s="15">
        <f>+36202675949</f>
        <v>36202675949</v>
      </c>
      <c r="D1477" s="1">
        <v>2.0</v>
      </c>
      <c r="E1477" s="1">
        <v>2.0</v>
      </c>
      <c r="F1477" s="1">
        <v>17000.0</v>
      </c>
    </row>
    <row r="1478">
      <c r="A1478" s="1" t="s">
        <v>3037</v>
      </c>
      <c r="B1478" s="1" t="s">
        <v>3038</v>
      </c>
      <c r="C1478" s="15">
        <f>+36203562349</f>
        <v>36203562349</v>
      </c>
      <c r="D1478" s="1">
        <v>2.0</v>
      </c>
      <c r="E1478" s="1">
        <v>2.0</v>
      </c>
      <c r="F1478" s="1">
        <v>23600.0</v>
      </c>
    </row>
    <row r="1479">
      <c r="A1479" s="1" t="s">
        <v>3039</v>
      </c>
      <c r="B1479" s="1" t="s">
        <v>3040</v>
      </c>
      <c r="C1479" s="15">
        <f>+36202397413</f>
        <v>36202397413</v>
      </c>
      <c r="D1479" s="1">
        <v>2.0</v>
      </c>
      <c r="E1479" s="1">
        <v>2.0</v>
      </c>
      <c r="F1479" s="1">
        <v>17600.0</v>
      </c>
    </row>
    <row r="1480">
      <c r="A1480" s="1" t="s">
        <v>3041</v>
      </c>
      <c r="B1480" s="1" t="s">
        <v>3042</v>
      </c>
      <c r="C1480" s="15">
        <f>+36709418946</f>
        <v>36709418946</v>
      </c>
      <c r="D1480" s="1">
        <v>2.0</v>
      </c>
      <c r="E1480" s="1">
        <v>2.0</v>
      </c>
      <c r="F1480" s="1">
        <v>18900.0</v>
      </c>
    </row>
    <row r="1481">
      <c r="A1481" s="1" t="s">
        <v>3043</v>
      </c>
      <c r="B1481" s="1" t="s">
        <v>3044</v>
      </c>
      <c r="C1481" s="15">
        <f>+36203477431</f>
        <v>36203477431</v>
      </c>
      <c r="D1481" s="1">
        <v>2.0</v>
      </c>
      <c r="E1481" s="1">
        <v>2.0</v>
      </c>
      <c r="F1481" s="1">
        <v>23500.0</v>
      </c>
    </row>
    <row r="1482">
      <c r="A1482" s="1" t="s">
        <v>3045</v>
      </c>
      <c r="B1482" s="1" t="s">
        <v>3046</v>
      </c>
      <c r="C1482" s="15">
        <f>+36702713090</f>
        <v>36702713090</v>
      </c>
      <c r="D1482" s="1">
        <v>2.0</v>
      </c>
      <c r="E1482" s="1">
        <v>2.0</v>
      </c>
      <c r="F1482" s="1">
        <v>24700.0</v>
      </c>
    </row>
    <row r="1483">
      <c r="A1483" s="1" t="s">
        <v>3047</v>
      </c>
      <c r="B1483" s="1" t="s">
        <v>3048</v>
      </c>
      <c r="C1483" s="15">
        <f>+36708856244</f>
        <v>36708856244</v>
      </c>
      <c r="D1483" s="1">
        <v>2.0</v>
      </c>
      <c r="E1483" s="1">
        <v>2.0</v>
      </c>
      <c r="F1483" s="1">
        <v>20400.0</v>
      </c>
    </row>
    <row r="1484">
      <c r="A1484" s="1" t="s">
        <v>3049</v>
      </c>
      <c r="B1484" s="1" t="s">
        <v>3050</v>
      </c>
      <c r="C1484" s="15">
        <f>+36204339777</f>
        <v>36204339777</v>
      </c>
      <c r="D1484" s="1">
        <v>2.0</v>
      </c>
      <c r="E1484" s="1">
        <v>2.0</v>
      </c>
      <c r="F1484" s="1">
        <v>18600.0</v>
      </c>
    </row>
    <row r="1485">
      <c r="A1485" s="1" t="s">
        <v>3051</v>
      </c>
      <c r="B1485" s="1" t="s">
        <v>3052</v>
      </c>
      <c r="C1485" s="15">
        <f>+36309063257</f>
        <v>36309063257</v>
      </c>
      <c r="D1485" s="1">
        <v>2.0</v>
      </c>
      <c r="E1485" s="1">
        <v>2.0</v>
      </c>
      <c r="F1485" s="1">
        <v>35400.0</v>
      </c>
    </row>
    <row r="1486">
      <c r="A1486" s="1" t="s">
        <v>3053</v>
      </c>
      <c r="B1486" s="1" t="s">
        <v>3054</v>
      </c>
      <c r="C1486" s="15">
        <f>+36702171984</f>
        <v>36702171984</v>
      </c>
      <c r="D1486" s="1">
        <v>2.0</v>
      </c>
      <c r="E1486" s="1">
        <v>2.0</v>
      </c>
      <c r="F1486" s="1">
        <v>22200.0</v>
      </c>
    </row>
    <row r="1487">
      <c r="A1487" s="1" t="s">
        <v>3055</v>
      </c>
      <c r="B1487" s="1" t="s">
        <v>3056</v>
      </c>
      <c r="C1487" s="15">
        <f>+36704268671</f>
        <v>36704268671</v>
      </c>
      <c r="D1487" s="1">
        <v>3.0</v>
      </c>
      <c r="E1487" s="1">
        <v>2.0</v>
      </c>
      <c r="F1487" s="1">
        <v>21500.0</v>
      </c>
    </row>
    <row r="1488">
      <c r="A1488" s="1" t="s">
        <v>3057</v>
      </c>
      <c r="B1488" s="1" t="s">
        <v>3058</v>
      </c>
      <c r="C1488" s="15">
        <f>+36204454345</f>
        <v>36204454345</v>
      </c>
      <c r="D1488" s="1">
        <v>2.0</v>
      </c>
      <c r="E1488" s="1">
        <v>2.0</v>
      </c>
      <c r="F1488" s="1">
        <v>17800.0</v>
      </c>
    </row>
    <row r="1489">
      <c r="A1489" s="1" t="s">
        <v>3059</v>
      </c>
      <c r="B1489" s="1" t="s">
        <v>3060</v>
      </c>
      <c r="C1489" s="15">
        <f>+36303811741</f>
        <v>36303811741</v>
      </c>
      <c r="D1489" s="1">
        <v>3.0</v>
      </c>
      <c r="E1489" s="1">
        <v>2.0</v>
      </c>
      <c r="F1489" s="1">
        <v>16000.0</v>
      </c>
    </row>
    <row r="1490">
      <c r="A1490" s="1" t="s">
        <v>3061</v>
      </c>
      <c r="B1490" s="1" t="s">
        <v>3062</v>
      </c>
      <c r="C1490" s="15">
        <f>+36308615975</f>
        <v>36308615975</v>
      </c>
      <c r="D1490" s="1">
        <v>2.0</v>
      </c>
      <c r="E1490" s="1">
        <v>2.0</v>
      </c>
      <c r="F1490" s="1">
        <v>19900.0</v>
      </c>
    </row>
    <row r="1491">
      <c r="A1491" s="1" t="s">
        <v>3063</v>
      </c>
      <c r="B1491" s="1" t="s">
        <v>3064</v>
      </c>
      <c r="C1491" s="15">
        <f>+36202451407</f>
        <v>36202451407</v>
      </c>
      <c r="D1491" s="1">
        <v>2.0</v>
      </c>
      <c r="E1491" s="1">
        <v>2.0</v>
      </c>
      <c r="F1491" s="1">
        <v>43600.0</v>
      </c>
    </row>
    <row r="1492">
      <c r="A1492" s="1" t="s">
        <v>3065</v>
      </c>
      <c r="B1492" s="1" t="s">
        <v>3066</v>
      </c>
      <c r="C1492" s="15">
        <f>+36300907983</f>
        <v>36300907983</v>
      </c>
      <c r="D1492" s="1">
        <v>1.0</v>
      </c>
      <c r="E1492" s="1">
        <v>2.0</v>
      </c>
      <c r="F1492" s="1">
        <v>26000.0</v>
      </c>
    </row>
    <row r="1493">
      <c r="A1493" s="1" t="s">
        <v>3067</v>
      </c>
      <c r="B1493" s="1" t="s">
        <v>3068</v>
      </c>
      <c r="C1493" s="15">
        <f>+36309623818</f>
        <v>36309623818</v>
      </c>
      <c r="D1493" s="1">
        <v>3.0</v>
      </c>
      <c r="E1493" s="1">
        <v>2.0</v>
      </c>
      <c r="F1493" s="1">
        <v>36700.0</v>
      </c>
    </row>
    <row r="1494">
      <c r="A1494" s="1" t="s">
        <v>3069</v>
      </c>
      <c r="B1494" s="1" t="s">
        <v>3070</v>
      </c>
      <c r="C1494" s="15">
        <f>+36203472381</f>
        <v>36203472381</v>
      </c>
      <c r="D1494" s="1">
        <v>2.0</v>
      </c>
      <c r="E1494" s="1">
        <v>2.0</v>
      </c>
      <c r="F1494" s="1">
        <v>24800.0</v>
      </c>
    </row>
    <row r="1495">
      <c r="A1495" s="1" t="s">
        <v>3071</v>
      </c>
      <c r="B1495" s="1" t="s">
        <v>3072</v>
      </c>
      <c r="C1495" s="15">
        <f>+36304508777</f>
        <v>36304508777</v>
      </c>
      <c r="D1495" s="1">
        <v>2.0</v>
      </c>
      <c r="E1495" s="1">
        <v>2.0</v>
      </c>
      <c r="F1495" s="1">
        <v>22200.0</v>
      </c>
    </row>
    <row r="1496">
      <c r="A1496" s="1" t="s">
        <v>3073</v>
      </c>
      <c r="B1496" s="1" t="s">
        <v>3074</v>
      </c>
      <c r="C1496" s="15">
        <f>+36302554904</f>
        <v>36302554904</v>
      </c>
      <c r="D1496" s="1">
        <v>2.0</v>
      </c>
      <c r="E1496" s="1">
        <v>2.0</v>
      </c>
      <c r="F1496" s="1">
        <v>22600.0</v>
      </c>
    </row>
    <row r="1497">
      <c r="A1497" s="1" t="s">
        <v>3075</v>
      </c>
      <c r="B1497" s="1" t="s">
        <v>3076</v>
      </c>
      <c r="C1497" s="15">
        <f>+36202588073</f>
        <v>36202588073</v>
      </c>
      <c r="D1497" s="1">
        <v>2.0</v>
      </c>
      <c r="E1497" s="1">
        <v>2.0</v>
      </c>
      <c r="F1497" s="1">
        <v>13800.0</v>
      </c>
    </row>
    <row r="1498">
      <c r="A1498" s="1" t="s">
        <v>3077</v>
      </c>
      <c r="B1498" s="1" t="s">
        <v>3078</v>
      </c>
      <c r="C1498" s="15">
        <f>+36204431618</f>
        <v>36204431618</v>
      </c>
      <c r="D1498" s="1">
        <v>2.0</v>
      </c>
      <c r="E1498" s="1">
        <v>2.0</v>
      </c>
      <c r="F1498" s="1">
        <v>20200.0</v>
      </c>
    </row>
    <row r="1499">
      <c r="A1499" s="1" t="s">
        <v>3079</v>
      </c>
      <c r="B1499" s="1" t="s">
        <v>3080</v>
      </c>
      <c r="C1499" s="15">
        <f>+36305608414</f>
        <v>36305608414</v>
      </c>
      <c r="D1499" s="1">
        <v>2.0</v>
      </c>
      <c r="E1499" s="1">
        <v>2.0</v>
      </c>
      <c r="F1499" s="1">
        <v>19600.0</v>
      </c>
    </row>
    <row r="1500">
      <c r="A1500" s="1" t="s">
        <v>3081</v>
      </c>
      <c r="B1500" s="1" t="s">
        <v>3082</v>
      </c>
      <c r="C1500" s="15">
        <f>+36305901743</f>
        <v>36305901743</v>
      </c>
      <c r="D1500" s="1">
        <v>1.0</v>
      </c>
      <c r="E1500" s="1">
        <v>2.0</v>
      </c>
      <c r="F1500" s="1">
        <v>18000.0</v>
      </c>
    </row>
    <row r="1501">
      <c r="A1501" s="1" t="s">
        <v>3083</v>
      </c>
      <c r="B1501" s="1" t="s">
        <v>3084</v>
      </c>
      <c r="C1501" s="15">
        <f>+36304170622</f>
        <v>36304170622</v>
      </c>
      <c r="D1501" s="1">
        <v>2.0</v>
      </c>
      <c r="E1501" s="1">
        <v>2.0</v>
      </c>
      <c r="F1501" s="1">
        <v>17100.0</v>
      </c>
    </row>
    <row r="1502">
      <c r="A1502" s="1" t="s">
        <v>3085</v>
      </c>
      <c r="B1502" s="1" t="s">
        <v>3086</v>
      </c>
      <c r="C1502" s="15">
        <f>+36300919582</f>
        <v>36300919582</v>
      </c>
      <c r="D1502" s="1">
        <v>3.0</v>
      </c>
      <c r="E1502" s="1">
        <v>2.0</v>
      </c>
      <c r="F1502" s="1">
        <v>27300.0</v>
      </c>
    </row>
    <row r="1503">
      <c r="A1503" s="1" t="s">
        <v>3087</v>
      </c>
      <c r="B1503" s="1" t="s">
        <v>3088</v>
      </c>
      <c r="C1503" s="15">
        <f>+36308484288</f>
        <v>36308484288</v>
      </c>
      <c r="D1503" s="1">
        <v>2.0</v>
      </c>
      <c r="E1503" s="1">
        <v>2.0</v>
      </c>
      <c r="F1503" s="1">
        <v>17000.0</v>
      </c>
    </row>
    <row r="1504">
      <c r="A1504" s="1" t="s">
        <v>3089</v>
      </c>
      <c r="B1504" s="1" t="s">
        <v>3090</v>
      </c>
      <c r="C1504" s="1" t="s">
        <v>3091</v>
      </c>
      <c r="D1504" s="1">
        <v>2.0</v>
      </c>
      <c r="E1504" s="1">
        <v>2.0</v>
      </c>
      <c r="F1504" s="1">
        <v>18800.0</v>
      </c>
    </row>
    <row r="1505">
      <c r="A1505" s="1" t="s">
        <v>3092</v>
      </c>
      <c r="B1505" s="1" t="s">
        <v>3093</v>
      </c>
      <c r="C1505" s="15">
        <f>+36305498320</f>
        <v>36305498320</v>
      </c>
      <c r="D1505" s="1">
        <v>3.0</v>
      </c>
      <c r="E1505" s="1">
        <v>2.0</v>
      </c>
      <c r="F1505" s="1">
        <v>36700.0</v>
      </c>
    </row>
    <row r="1506">
      <c r="A1506" s="1" t="s">
        <v>3094</v>
      </c>
      <c r="B1506" s="1" t="s">
        <v>3095</v>
      </c>
      <c r="C1506" s="15">
        <f>+36704138302</f>
        <v>36704138302</v>
      </c>
      <c r="D1506" s="1">
        <v>2.0</v>
      </c>
      <c r="E1506" s="1">
        <v>2.0</v>
      </c>
      <c r="F1506" s="1">
        <v>27200.0</v>
      </c>
    </row>
    <row r="1507">
      <c r="A1507" s="1" t="s">
        <v>3096</v>
      </c>
      <c r="B1507" s="1" t="s">
        <v>3097</v>
      </c>
      <c r="C1507" s="15">
        <f>+36309373206</f>
        <v>36309373206</v>
      </c>
      <c r="D1507" s="1">
        <v>2.0</v>
      </c>
      <c r="E1507" s="1">
        <v>2.0</v>
      </c>
      <c r="F1507" s="1">
        <v>17800.0</v>
      </c>
    </row>
    <row r="1508">
      <c r="A1508" s="1" t="s">
        <v>3098</v>
      </c>
      <c r="B1508" s="1" t="s">
        <v>3099</v>
      </c>
      <c r="C1508" s="15">
        <f>+36307839933</f>
        <v>36307839933</v>
      </c>
      <c r="D1508" s="1">
        <v>1.0</v>
      </c>
      <c r="E1508" s="1">
        <v>2.0</v>
      </c>
      <c r="F1508" s="1">
        <v>21000.0</v>
      </c>
    </row>
    <row r="1509">
      <c r="A1509" s="1" t="s">
        <v>3100</v>
      </c>
      <c r="B1509" s="1" t="s">
        <v>3101</v>
      </c>
      <c r="C1509" s="15">
        <f>+36202951940</f>
        <v>36202951940</v>
      </c>
      <c r="D1509" s="1">
        <v>2.0</v>
      </c>
      <c r="E1509" s="1">
        <v>2.0</v>
      </c>
      <c r="F1509" s="1">
        <v>19800.0</v>
      </c>
    </row>
    <row r="1510">
      <c r="A1510" s="1" t="s">
        <v>3102</v>
      </c>
      <c r="B1510" s="1" t="s">
        <v>3103</v>
      </c>
      <c r="C1510" s="15">
        <f>+36303470057</f>
        <v>36303470057</v>
      </c>
      <c r="D1510" s="1">
        <v>2.0</v>
      </c>
      <c r="E1510" s="1">
        <v>2.0</v>
      </c>
      <c r="F1510" s="1">
        <v>20200.0</v>
      </c>
    </row>
    <row r="1511">
      <c r="A1511" s="1" t="s">
        <v>3104</v>
      </c>
      <c r="B1511" s="1" t="s">
        <v>3105</v>
      </c>
      <c r="C1511" s="15">
        <f>+36705933671</f>
        <v>36705933671</v>
      </c>
      <c r="D1511" s="1">
        <v>1.0</v>
      </c>
      <c r="E1511" s="1">
        <v>2.0</v>
      </c>
      <c r="F1511" s="1">
        <v>17400.0</v>
      </c>
    </row>
    <row r="1512">
      <c r="A1512" s="1" t="s">
        <v>3106</v>
      </c>
      <c r="B1512" s="1" t="s">
        <v>3107</v>
      </c>
      <c r="C1512" s="15">
        <f>+36309970305</f>
        <v>36309970305</v>
      </c>
      <c r="D1512" s="1">
        <v>2.0</v>
      </c>
      <c r="E1512" s="1">
        <v>2.0</v>
      </c>
      <c r="F1512" s="1">
        <v>19600.0</v>
      </c>
    </row>
    <row r="1513">
      <c r="A1513" s="1" t="s">
        <v>3108</v>
      </c>
      <c r="B1513" s="1" t="s">
        <v>3109</v>
      </c>
      <c r="C1513" s="15">
        <f>+36202366797</f>
        <v>36202366797</v>
      </c>
      <c r="D1513" s="1">
        <v>2.0</v>
      </c>
      <c r="E1513" s="1">
        <v>2.0</v>
      </c>
      <c r="F1513" s="1">
        <v>26800.0</v>
      </c>
    </row>
    <row r="1514">
      <c r="A1514" s="1" t="s">
        <v>3110</v>
      </c>
      <c r="B1514" s="1" t="s">
        <v>3111</v>
      </c>
      <c r="C1514" s="15">
        <f>+36205667259</f>
        <v>36205667259</v>
      </c>
      <c r="D1514" s="1">
        <v>1.0</v>
      </c>
      <c r="E1514" s="1">
        <v>2.0</v>
      </c>
      <c r="F1514" s="1">
        <v>11600.0</v>
      </c>
    </row>
    <row r="1515">
      <c r="A1515" s="1" t="s">
        <v>3112</v>
      </c>
      <c r="B1515" s="1" t="s">
        <v>3113</v>
      </c>
      <c r="C1515" s="15">
        <f>+36306944298</f>
        <v>36306944298</v>
      </c>
      <c r="D1515" s="1">
        <v>2.0</v>
      </c>
      <c r="E1515" s="1">
        <v>2.0</v>
      </c>
      <c r="F1515" s="1">
        <v>25400.0</v>
      </c>
    </row>
    <row r="1516">
      <c r="A1516" s="1" t="s">
        <v>3114</v>
      </c>
      <c r="B1516" s="1" t="s">
        <v>3115</v>
      </c>
      <c r="C1516" s="15">
        <f>+36706729592</f>
        <v>36706729592</v>
      </c>
      <c r="D1516" s="1">
        <v>1.0</v>
      </c>
      <c r="E1516" s="1">
        <v>2.0</v>
      </c>
      <c r="F1516" s="1">
        <v>21200.0</v>
      </c>
    </row>
    <row r="1517">
      <c r="A1517" s="1" t="s">
        <v>3116</v>
      </c>
      <c r="B1517" s="1" t="s">
        <v>3117</v>
      </c>
      <c r="C1517" s="15">
        <f>+36302568660</f>
        <v>36302568660</v>
      </c>
      <c r="D1517" s="1">
        <v>2.0</v>
      </c>
      <c r="E1517" s="1">
        <v>2.0</v>
      </c>
      <c r="F1517" s="1">
        <v>20700.0</v>
      </c>
    </row>
    <row r="1518">
      <c r="A1518" s="1" t="s">
        <v>3118</v>
      </c>
      <c r="B1518" s="1" t="s">
        <v>3119</v>
      </c>
      <c r="C1518" s="15">
        <f>+36307584251</f>
        <v>36307584251</v>
      </c>
      <c r="D1518" s="1">
        <v>2.0</v>
      </c>
      <c r="E1518" s="1">
        <v>2.0</v>
      </c>
      <c r="F1518" s="1">
        <v>22700.0</v>
      </c>
    </row>
    <row r="1519">
      <c r="A1519" s="1" t="s">
        <v>3120</v>
      </c>
      <c r="B1519" s="1" t="s">
        <v>3121</v>
      </c>
      <c r="C1519" s="15">
        <f>+381648545511</f>
        <v>381648545511</v>
      </c>
      <c r="D1519" s="1">
        <v>2.0</v>
      </c>
      <c r="E1519" s="1">
        <v>2.0</v>
      </c>
      <c r="F1519" s="1">
        <v>17600.0</v>
      </c>
    </row>
    <row r="1520">
      <c r="A1520" s="1" t="s">
        <v>3122</v>
      </c>
      <c r="B1520" s="1" t="s">
        <v>3123</v>
      </c>
      <c r="C1520" s="15">
        <f>+36305591425</f>
        <v>36305591425</v>
      </c>
      <c r="D1520" s="1">
        <v>2.0</v>
      </c>
      <c r="E1520" s="1">
        <v>2.0</v>
      </c>
      <c r="F1520" s="1">
        <v>16400.0</v>
      </c>
    </row>
    <row r="1521">
      <c r="A1521" s="1" t="s">
        <v>3124</v>
      </c>
      <c r="B1521" s="1" t="s">
        <v>3125</v>
      </c>
      <c r="C1521" s="15">
        <f>+36205277637</f>
        <v>36205277637</v>
      </c>
      <c r="D1521" s="1">
        <v>2.0</v>
      </c>
      <c r="E1521" s="1">
        <v>2.0</v>
      </c>
      <c r="F1521" s="1">
        <v>14200.0</v>
      </c>
    </row>
    <row r="1522">
      <c r="A1522" s="1" t="s">
        <v>3126</v>
      </c>
      <c r="B1522" s="1" t="s">
        <v>3127</v>
      </c>
      <c r="C1522" s="15">
        <f>+36307772337</f>
        <v>36307772337</v>
      </c>
      <c r="D1522" s="1">
        <v>2.0</v>
      </c>
      <c r="E1522" s="1">
        <v>2.0</v>
      </c>
      <c r="F1522" s="1">
        <v>25500.0</v>
      </c>
    </row>
    <row r="1523">
      <c r="A1523" s="1" t="s">
        <v>3128</v>
      </c>
      <c r="B1523" s="1" t="s">
        <v>3129</v>
      </c>
      <c r="C1523" s="15">
        <f>+36702788200</f>
        <v>36702788200</v>
      </c>
      <c r="D1523" s="1">
        <v>2.0</v>
      </c>
      <c r="E1523" s="1">
        <v>2.0</v>
      </c>
      <c r="F1523" s="1">
        <v>17800.0</v>
      </c>
    </row>
    <row r="1524">
      <c r="A1524" s="1" t="s">
        <v>3130</v>
      </c>
      <c r="B1524" s="1" t="s">
        <v>3131</v>
      </c>
      <c r="C1524" s="15">
        <f>+36309422897</f>
        <v>36309422897</v>
      </c>
      <c r="D1524" s="1">
        <v>2.0</v>
      </c>
      <c r="E1524" s="1">
        <v>2.0</v>
      </c>
      <c r="F1524" s="1">
        <v>18700.0</v>
      </c>
    </row>
    <row r="1525">
      <c r="A1525" s="1" t="s">
        <v>3132</v>
      </c>
      <c r="B1525" s="1" t="s">
        <v>3133</v>
      </c>
      <c r="C1525" s="15">
        <f>+36702109600</f>
        <v>36702109600</v>
      </c>
      <c r="D1525" s="1">
        <v>2.0</v>
      </c>
      <c r="E1525" s="1">
        <v>2.0</v>
      </c>
      <c r="F1525" s="1">
        <v>18600.0</v>
      </c>
    </row>
    <row r="1526">
      <c r="A1526" s="1" t="s">
        <v>3134</v>
      </c>
      <c r="B1526" s="1" t="s">
        <v>3135</v>
      </c>
      <c r="C1526" s="15">
        <f>+36203711175</f>
        <v>36203711175</v>
      </c>
      <c r="D1526" s="1">
        <v>2.0</v>
      </c>
      <c r="E1526" s="1">
        <v>2.0</v>
      </c>
      <c r="F1526" s="1">
        <v>23500.0</v>
      </c>
    </row>
    <row r="1527">
      <c r="A1527" s="1" t="s">
        <v>3136</v>
      </c>
      <c r="B1527" s="1" t="s">
        <v>3137</v>
      </c>
      <c r="C1527" s="15">
        <f>+36204573353</f>
        <v>36204573353</v>
      </c>
      <c r="D1527" s="1">
        <v>1.0</v>
      </c>
      <c r="E1527" s="1">
        <v>2.0</v>
      </c>
      <c r="F1527" s="1">
        <v>11600.0</v>
      </c>
    </row>
    <row r="1528">
      <c r="A1528" s="1" t="s">
        <v>3138</v>
      </c>
      <c r="B1528" s="1" t="s">
        <v>3139</v>
      </c>
      <c r="C1528" s="15">
        <f>+36703156147</f>
        <v>36703156147</v>
      </c>
      <c r="D1528" s="1">
        <v>2.0</v>
      </c>
      <c r="E1528" s="1">
        <v>2.0</v>
      </c>
      <c r="F1528" s="1">
        <v>20300.0</v>
      </c>
    </row>
    <row r="1529">
      <c r="A1529" s="1" t="s">
        <v>3140</v>
      </c>
      <c r="B1529" s="1" t="s">
        <v>3141</v>
      </c>
      <c r="C1529" s="15">
        <f>+36202693661</f>
        <v>36202693661</v>
      </c>
      <c r="D1529" s="1">
        <v>2.0</v>
      </c>
      <c r="E1529" s="1">
        <v>2.0</v>
      </c>
      <c r="F1529" s="1">
        <v>18500.0</v>
      </c>
    </row>
    <row r="1530">
      <c r="A1530" s="1" t="s">
        <v>3142</v>
      </c>
      <c r="B1530" s="1" t="s">
        <v>3143</v>
      </c>
      <c r="C1530" s="15">
        <f>+36702419001</f>
        <v>36702419001</v>
      </c>
      <c r="D1530" s="1">
        <v>3.0</v>
      </c>
      <c r="E1530" s="1">
        <v>2.0</v>
      </c>
      <c r="F1530" s="1">
        <v>28600.0</v>
      </c>
    </row>
    <row r="1531">
      <c r="A1531" s="1" t="s">
        <v>3144</v>
      </c>
      <c r="B1531" s="1" t="s">
        <v>3145</v>
      </c>
      <c r="C1531" s="15">
        <f>+36303458620</f>
        <v>36303458620</v>
      </c>
      <c r="D1531" s="1">
        <v>3.0</v>
      </c>
      <c r="E1531" s="1">
        <v>2.0</v>
      </c>
      <c r="F1531" s="1">
        <v>19400.0</v>
      </c>
    </row>
    <row r="1532">
      <c r="A1532" s="1" t="s">
        <v>3146</v>
      </c>
      <c r="B1532" s="1" t="s">
        <v>3147</v>
      </c>
      <c r="C1532" s="15">
        <f>+36203939423</f>
        <v>36203939423</v>
      </c>
      <c r="D1532" s="1">
        <v>2.0</v>
      </c>
      <c r="E1532" s="1">
        <v>2.0</v>
      </c>
      <c r="F1532" s="1">
        <v>19500.0</v>
      </c>
    </row>
    <row r="1533">
      <c r="A1533" s="1" t="s">
        <v>3148</v>
      </c>
      <c r="B1533" s="1" t="s">
        <v>3149</v>
      </c>
      <c r="C1533" s="15">
        <f>+36702396529</f>
        <v>36702396529</v>
      </c>
      <c r="D1533" s="1">
        <v>1.0</v>
      </c>
      <c r="E1533" s="1">
        <v>2.0</v>
      </c>
      <c r="F1533" s="1">
        <v>19600.0</v>
      </c>
    </row>
    <row r="1534">
      <c r="A1534" s="1" t="s">
        <v>3150</v>
      </c>
      <c r="B1534" s="1" t="s">
        <v>3151</v>
      </c>
      <c r="C1534" s="15">
        <f>+36205668280</f>
        <v>36205668280</v>
      </c>
      <c r="D1534" s="1">
        <v>1.0</v>
      </c>
      <c r="E1534" s="1">
        <v>2.0</v>
      </c>
      <c r="F1534" s="1">
        <v>21000.0</v>
      </c>
    </row>
    <row r="1535">
      <c r="A1535" s="1" t="s">
        <v>3152</v>
      </c>
      <c r="B1535" s="1" t="s">
        <v>3153</v>
      </c>
      <c r="C1535" s="15">
        <f>+36202980823</f>
        <v>36202980823</v>
      </c>
      <c r="D1535" s="1">
        <v>1.0</v>
      </c>
      <c r="E1535" s="1">
        <v>2.0</v>
      </c>
      <c r="F1535" s="1">
        <v>26000.0</v>
      </c>
    </row>
    <row r="1536">
      <c r="A1536" s="1" t="s">
        <v>3154</v>
      </c>
      <c r="B1536" s="1" t="s">
        <v>3155</v>
      </c>
      <c r="C1536" s="15">
        <f>+36703689532</f>
        <v>36703689532</v>
      </c>
      <c r="D1536" s="1">
        <v>2.0</v>
      </c>
      <c r="E1536" s="1">
        <v>2.0</v>
      </c>
      <c r="F1536" s="1">
        <v>17100.0</v>
      </c>
    </row>
    <row r="1537">
      <c r="A1537" s="1" t="s">
        <v>3156</v>
      </c>
      <c r="B1537" s="1" t="s">
        <v>3157</v>
      </c>
      <c r="C1537" s="15">
        <f>+40745799189</f>
        <v>40745799189</v>
      </c>
      <c r="D1537" s="1">
        <v>2.0</v>
      </c>
      <c r="E1537" s="1">
        <v>2.0</v>
      </c>
      <c r="F1537" s="1">
        <v>16900.0</v>
      </c>
    </row>
    <row r="1538">
      <c r="A1538" s="1" t="s">
        <v>3158</v>
      </c>
      <c r="B1538" s="1" t="s">
        <v>3159</v>
      </c>
      <c r="C1538" s="15">
        <f>+36304169898</f>
        <v>36304169898</v>
      </c>
      <c r="D1538" s="1">
        <v>2.0</v>
      </c>
      <c r="E1538" s="1">
        <v>2.0</v>
      </c>
      <c r="F1538" s="1">
        <v>21900.0</v>
      </c>
    </row>
    <row r="1539">
      <c r="A1539" s="1" t="s">
        <v>3160</v>
      </c>
      <c r="B1539" s="1" t="s">
        <v>3161</v>
      </c>
      <c r="C1539" s="15">
        <f>+36709431090</f>
        <v>36709431090</v>
      </c>
      <c r="D1539" s="1">
        <v>2.0</v>
      </c>
      <c r="E1539" s="1">
        <v>2.0</v>
      </c>
      <c r="F1539" s="1">
        <v>22800.0</v>
      </c>
    </row>
    <row r="1540">
      <c r="A1540" s="1" t="s">
        <v>3162</v>
      </c>
      <c r="B1540" s="1" t="s">
        <v>3163</v>
      </c>
      <c r="C1540" s="15">
        <f>+36306034337</f>
        <v>36306034337</v>
      </c>
      <c r="D1540" s="1">
        <v>2.0</v>
      </c>
      <c r="E1540" s="1">
        <v>2.0</v>
      </c>
      <c r="F1540" s="1">
        <v>20700.0</v>
      </c>
    </row>
    <row r="1541">
      <c r="A1541" s="1" t="s">
        <v>3164</v>
      </c>
      <c r="B1541" s="1" t="s">
        <v>3165</v>
      </c>
      <c r="C1541" s="15">
        <f>+36309975636</f>
        <v>36309975636</v>
      </c>
      <c r="D1541" s="1">
        <v>1.0</v>
      </c>
      <c r="E1541" s="1">
        <v>2.0</v>
      </c>
      <c r="F1541" s="1">
        <v>21200.0</v>
      </c>
    </row>
    <row r="1542">
      <c r="A1542" s="1" t="s">
        <v>3166</v>
      </c>
      <c r="B1542" s="1" t="s">
        <v>3167</v>
      </c>
      <c r="C1542" s="15">
        <f>+36706154312</f>
        <v>36706154312</v>
      </c>
      <c r="D1542" s="1">
        <v>2.0</v>
      </c>
      <c r="E1542" s="1">
        <v>2.0</v>
      </c>
      <c r="F1542" s="1">
        <v>24600.0</v>
      </c>
    </row>
    <row r="1543">
      <c r="A1543" s="1" t="s">
        <v>3168</v>
      </c>
      <c r="B1543" s="1" t="s">
        <v>3169</v>
      </c>
      <c r="C1543" s="15">
        <f>+36306294383</f>
        <v>36306294383</v>
      </c>
      <c r="D1543" s="1">
        <v>3.0</v>
      </c>
      <c r="E1543" s="1">
        <v>2.0</v>
      </c>
      <c r="F1543" s="1">
        <v>22000.0</v>
      </c>
    </row>
    <row r="1544">
      <c r="A1544" s="1" t="s">
        <v>3170</v>
      </c>
      <c r="B1544" s="1" t="s">
        <v>3171</v>
      </c>
      <c r="C1544" s="15">
        <f>+36305475379</f>
        <v>36305475379</v>
      </c>
      <c r="D1544" s="1">
        <v>2.0</v>
      </c>
      <c r="E1544" s="1">
        <v>2.0</v>
      </c>
      <c r="F1544" s="1">
        <v>35400.0</v>
      </c>
    </row>
    <row r="1545">
      <c r="A1545" s="1" t="s">
        <v>3172</v>
      </c>
      <c r="B1545" s="1" t="s">
        <v>3173</v>
      </c>
      <c r="C1545" s="15">
        <f>+36306429286</f>
        <v>36306429286</v>
      </c>
      <c r="D1545" s="1">
        <v>2.0</v>
      </c>
      <c r="E1545" s="1">
        <v>2.0</v>
      </c>
      <c r="F1545" s="1">
        <v>24700.0</v>
      </c>
    </row>
    <row r="1546">
      <c r="A1546" s="1" t="s">
        <v>3174</v>
      </c>
      <c r="B1546" s="1" t="s">
        <v>3175</v>
      </c>
      <c r="C1546" s="15">
        <f>+36209380322</f>
        <v>36209380322</v>
      </c>
      <c r="D1546" s="1">
        <v>1.0</v>
      </c>
      <c r="E1546" s="1">
        <v>2.0</v>
      </c>
      <c r="F1546" s="1">
        <v>23600.0</v>
      </c>
    </row>
    <row r="1547">
      <c r="A1547" s="1" t="s">
        <v>3176</v>
      </c>
      <c r="B1547" s="1" t="s">
        <v>3177</v>
      </c>
      <c r="C1547" s="15">
        <f>+36305763360</f>
        <v>36305763360</v>
      </c>
      <c r="D1547" s="1">
        <v>3.0</v>
      </c>
      <c r="E1547" s="1">
        <v>2.0</v>
      </c>
      <c r="F1547" s="1">
        <v>19400.0</v>
      </c>
    </row>
    <row r="1548">
      <c r="A1548" s="1" t="s">
        <v>3178</v>
      </c>
      <c r="B1548" s="1" t="s">
        <v>3179</v>
      </c>
      <c r="C1548" s="15">
        <f>+36706280522</f>
        <v>36706280522</v>
      </c>
      <c r="D1548" s="1">
        <v>2.0</v>
      </c>
      <c r="E1548" s="1">
        <v>2.0</v>
      </c>
      <c r="F1548" s="1">
        <v>18900.0</v>
      </c>
    </row>
    <row r="1549">
      <c r="A1549" s="1" t="s">
        <v>3180</v>
      </c>
      <c r="B1549" s="1" t="s">
        <v>3181</v>
      </c>
      <c r="C1549" s="15">
        <f>+36204421750</f>
        <v>36204421750</v>
      </c>
      <c r="D1549" s="1">
        <v>2.0</v>
      </c>
      <c r="E1549" s="1">
        <v>2.0</v>
      </c>
      <c r="F1549" s="1">
        <v>22000.0</v>
      </c>
    </row>
    <row r="1550">
      <c r="A1550" s="1" t="s">
        <v>3182</v>
      </c>
      <c r="B1550" s="1" t="s">
        <v>3183</v>
      </c>
      <c r="C1550" s="15">
        <f>+36206678318</f>
        <v>36206678318</v>
      </c>
      <c r="D1550" s="1">
        <v>1.0</v>
      </c>
      <c r="E1550" s="1">
        <v>2.0</v>
      </c>
      <c r="F1550" s="1">
        <v>19600.0</v>
      </c>
    </row>
    <row r="1551">
      <c r="A1551" s="1" t="s">
        <v>3184</v>
      </c>
      <c r="B1551" s="1" t="s">
        <v>3185</v>
      </c>
      <c r="C1551" s="15">
        <f>+36304781353</f>
        <v>36304781353</v>
      </c>
      <c r="D1551" s="1">
        <v>2.0</v>
      </c>
      <c r="E1551" s="1">
        <v>2.0</v>
      </c>
      <c r="F1551" s="1">
        <v>10100.0</v>
      </c>
    </row>
    <row r="1552">
      <c r="A1552" s="1" t="s">
        <v>3186</v>
      </c>
      <c r="B1552" s="1" t="s">
        <v>3187</v>
      </c>
      <c r="C1552" s="15">
        <f>+36709459496</f>
        <v>36709459496</v>
      </c>
      <c r="D1552" s="1">
        <v>2.0</v>
      </c>
      <c r="E1552" s="1">
        <v>2.0</v>
      </c>
      <c r="F1552" s="1">
        <v>17000.0</v>
      </c>
    </row>
    <row r="1553">
      <c r="A1553" s="1" t="s">
        <v>3188</v>
      </c>
      <c r="B1553" s="1" t="s">
        <v>3189</v>
      </c>
      <c r="C1553" s="15">
        <f>+36209676752</f>
        <v>36209676752</v>
      </c>
      <c r="D1553" s="1">
        <v>2.0</v>
      </c>
      <c r="E1553" s="1">
        <v>2.0</v>
      </c>
      <c r="F1553" s="1">
        <v>27900.0</v>
      </c>
    </row>
    <row r="1554">
      <c r="A1554" s="1" t="s">
        <v>3190</v>
      </c>
      <c r="B1554" s="1" t="s">
        <v>3191</v>
      </c>
      <c r="C1554" s="15">
        <f>+36708823715</f>
        <v>36708823715</v>
      </c>
      <c r="D1554" s="1">
        <v>2.0</v>
      </c>
      <c r="E1554" s="1">
        <v>2.0</v>
      </c>
      <c r="F1554" s="1">
        <v>15000.0</v>
      </c>
    </row>
    <row r="1555">
      <c r="A1555" s="1" t="s">
        <v>3192</v>
      </c>
      <c r="B1555" s="1" t="s">
        <v>3193</v>
      </c>
      <c r="C1555" s="15">
        <f>+36704060344</f>
        <v>36704060344</v>
      </c>
      <c r="D1555" s="1">
        <v>2.0</v>
      </c>
      <c r="E1555" s="1">
        <v>2.0</v>
      </c>
      <c r="F1555" s="1">
        <v>17800.0</v>
      </c>
    </row>
    <row r="1556">
      <c r="A1556" s="1" t="s">
        <v>3194</v>
      </c>
      <c r="B1556" s="1" t="s">
        <v>3195</v>
      </c>
      <c r="C1556" s="15">
        <f>+36302794565</f>
        <v>36302794565</v>
      </c>
      <c r="D1556" s="1">
        <v>2.0</v>
      </c>
      <c r="E1556" s="1">
        <v>2.0</v>
      </c>
      <c r="F1556" s="1">
        <v>18500.0</v>
      </c>
    </row>
    <row r="1557">
      <c r="A1557" s="1" t="s">
        <v>3196</v>
      </c>
      <c r="B1557" s="1" t="s">
        <v>3197</v>
      </c>
      <c r="C1557" s="15">
        <f>+36302411412</f>
        <v>36302411412</v>
      </c>
      <c r="D1557" s="1">
        <v>3.0</v>
      </c>
      <c r="E1557" s="1">
        <v>2.0</v>
      </c>
      <c r="F1557" s="1">
        <v>33100.0</v>
      </c>
    </row>
    <row r="1558">
      <c r="A1558" s="1" t="s">
        <v>3198</v>
      </c>
      <c r="B1558" s="1" t="s">
        <v>3199</v>
      </c>
      <c r="C1558" s="15">
        <f>+36304948908</f>
        <v>36304948908</v>
      </c>
      <c r="D1558" s="1">
        <v>2.0</v>
      </c>
      <c r="E1558" s="1">
        <v>2.0</v>
      </c>
      <c r="F1558" s="1">
        <v>26100.0</v>
      </c>
    </row>
    <row r="1559">
      <c r="A1559" s="1" t="s">
        <v>3200</v>
      </c>
      <c r="B1559" s="1" t="s">
        <v>3201</v>
      </c>
      <c r="C1559" s="15">
        <f>+36302552379</f>
        <v>36302552379</v>
      </c>
      <c r="D1559" s="1">
        <v>1.0</v>
      </c>
      <c r="E1559" s="1">
        <v>2.0</v>
      </c>
      <c r="F1559" s="1">
        <v>33800.0</v>
      </c>
    </row>
    <row r="1560">
      <c r="A1560" s="1" t="s">
        <v>3202</v>
      </c>
      <c r="B1560" s="1" t="s">
        <v>3203</v>
      </c>
      <c r="C1560" s="15">
        <f>+36705997155</f>
        <v>36705997155</v>
      </c>
      <c r="D1560" s="1">
        <v>2.0</v>
      </c>
      <c r="E1560" s="1">
        <v>2.0</v>
      </c>
      <c r="F1560" s="1">
        <v>17900.0</v>
      </c>
    </row>
    <row r="1561">
      <c r="A1561" s="1" t="s">
        <v>3204</v>
      </c>
      <c r="B1561" s="1" t="s">
        <v>3205</v>
      </c>
      <c r="C1561" s="15">
        <f>+36307798446</f>
        <v>36307798446</v>
      </c>
      <c r="D1561" s="1">
        <v>3.0</v>
      </c>
      <c r="E1561" s="1">
        <v>2.0</v>
      </c>
      <c r="F1561" s="1">
        <v>30300.0</v>
      </c>
    </row>
    <row r="1562">
      <c r="A1562" s="1" t="s">
        <v>3206</v>
      </c>
      <c r="B1562" s="1" t="s">
        <v>3207</v>
      </c>
      <c r="C1562" s="15">
        <f>+36706091468</f>
        <v>36706091468</v>
      </c>
      <c r="D1562" s="1">
        <v>2.0</v>
      </c>
      <c r="E1562" s="1">
        <v>2.0</v>
      </c>
      <c r="F1562" s="1">
        <v>19600.0</v>
      </c>
    </row>
    <row r="1563">
      <c r="A1563" s="1" t="s">
        <v>3208</v>
      </c>
      <c r="B1563" s="1" t="s">
        <v>3209</v>
      </c>
      <c r="C1563" s="15">
        <f>+36209344373</f>
        <v>36209344373</v>
      </c>
      <c r="D1563" s="1">
        <v>3.0</v>
      </c>
      <c r="E1563" s="1">
        <v>2.0</v>
      </c>
      <c r="F1563" s="1">
        <v>21300.0</v>
      </c>
    </row>
    <row r="1564">
      <c r="A1564" s="1" t="s">
        <v>3210</v>
      </c>
      <c r="B1564" s="1" t="s">
        <v>3211</v>
      </c>
      <c r="C1564" s="15">
        <f>+36303980113</f>
        <v>36303980113</v>
      </c>
      <c r="D1564" s="1">
        <v>2.0</v>
      </c>
      <c r="E1564" s="1">
        <v>2.0</v>
      </c>
      <c r="F1564" s="1">
        <v>24500.0</v>
      </c>
    </row>
    <row r="1565">
      <c r="A1565" s="1" t="s">
        <v>3212</v>
      </c>
      <c r="B1565" s="1" t="s">
        <v>3213</v>
      </c>
      <c r="C1565" s="15">
        <f>+36702999888</f>
        <v>36702999888</v>
      </c>
      <c r="D1565" s="1">
        <v>2.0</v>
      </c>
      <c r="E1565" s="1">
        <v>2.0</v>
      </c>
      <c r="F1565" s="1">
        <v>33000.0</v>
      </c>
    </row>
    <row r="1566">
      <c r="A1566" s="1" t="s">
        <v>3214</v>
      </c>
      <c r="B1566" s="1" t="s">
        <v>3215</v>
      </c>
      <c r="C1566" s="15">
        <f>+36302670185</f>
        <v>36302670185</v>
      </c>
      <c r="D1566" s="1">
        <v>2.0</v>
      </c>
      <c r="E1566" s="1">
        <v>2.0</v>
      </c>
      <c r="F1566" s="1">
        <v>12900.0</v>
      </c>
    </row>
    <row r="1567">
      <c r="A1567" s="1" t="s">
        <v>3216</v>
      </c>
      <c r="B1567" s="1" t="s">
        <v>3217</v>
      </c>
      <c r="C1567" s="15">
        <f>+36203293075</f>
        <v>36203293075</v>
      </c>
      <c r="D1567" s="1">
        <v>1.0</v>
      </c>
      <c r="E1567" s="1">
        <v>2.0</v>
      </c>
      <c r="F1567" s="1">
        <v>23400.0</v>
      </c>
    </row>
    <row r="1568">
      <c r="A1568" s="1" t="s">
        <v>3218</v>
      </c>
      <c r="B1568" s="1" t="s">
        <v>3219</v>
      </c>
      <c r="C1568" s="15">
        <f>+36704105575</f>
        <v>36704105575</v>
      </c>
      <c r="D1568" s="1">
        <v>2.0</v>
      </c>
      <c r="E1568" s="1">
        <v>2.0</v>
      </c>
      <c r="F1568" s="1">
        <v>19000.0</v>
      </c>
    </row>
    <row r="1569">
      <c r="A1569" s="1" t="s">
        <v>3220</v>
      </c>
      <c r="B1569" s="1" t="s">
        <v>3221</v>
      </c>
      <c r="C1569" s="15">
        <f>+36303543429</f>
        <v>36303543429</v>
      </c>
      <c r="D1569" s="1">
        <v>2.0</v>
      </c>
      <c r="E1569" s="1">
        <v>2.0</v>
      </c>
      <c r="F1569" s="1">
        <v>24700.0</v>
      </c>
    </row>
    <row r="1570">
      <c r="A1570" s="1" t="s">
        <v>3222</v>
      </c>
      <c r="B1570" s="1" t="s">
        <v>3223</v>
      </c>
      <c r="C1570" s="15">
        <f>+36304616165</f>
        <v>36304616165</v>
      </c>
      <c r="D1570" s="1">
        <v>1.0</v>
      </c>
      <c r="E1570" s="1">
        <v>2.0</v>
      </c>
      <c r="F1570" s="1">
        <v>21200.0</v>
      </c>
    </row>
    <row r="1571">
      <c r="A1571" s="1" t="s">
        <v>3224</v>
      </c>
      <c r="B1571" s="1" t="s">
        <v>3225</v>
      </c>
      <c r="C1571" s="15">
        <f>+36304368430</f>
        <v>36304368430</v>
      </c>
      <c r="D1571" s="1">
        <v>2.0</v>
      </c>
      <c r="E1571" s="1">
        <v>2.0</v>
      </c>
      <c r="F1571" s="1">
        <v>17600.0</v>
      </c>
    </row>
    <row r="1572">
      <c r="A1572" s="1" t="s">
        <v>3226</v>
      </c>
      <c r="B1572" s="1" t="s">
        <v>3227</v>
      </c>
      <c r="C1572" s="15">
        <f>+36306768325</f>
        <v>36306768325</v>
      </c>
      <c r="D1572" s="1">
        <v>2.0</v>
      </c>
      <c r="E1572" s="1">
        <v>2.0</v>
      </c>
      <c r="F1572" s="1">
        <v>22200.0</v>
      </c>
    </row>
    <row r="1573">
      <c r="A1573" s="1" t="s">
        <v>3228</v>
      </c>
      <c r="B1573" s="1" t="s">
        <v>3229</v>
      </c>
      <c r="C1573" s="15">
        <f>+36305204663</f>
        <v>36305204663</v>
      </c>
      <c r="D1573" s="1">
        <v>3.0</v>
      </c>
      <c r="E1573" s="1">
        <v>2.0</v>
      </c>
      <c r="F1573" s="1">
        <v>17000.0</v>
      </c>
    </row>
    <row r="1574">
      <c r="A1574" s="1" t="s">
        <v>3230</v>
      </c>
      <c r="B1574" s="1" t="s">
        <v>3231</v>
      </c>
      <c r="C1574" s="15">
        <f>+36305502562</f>
        <v>36305502562</v>
      </c>
      <c r="D1574" s="1">
        <v>2.0</v>
      </c>
      <c r="E1574" s="1">
        <v>2.0</v>
      </c>
      <c r="F1574" s="1">
        <v>13800.0</v>
      </c>
    </row>
    <row r="1575">
      <c r="A1575" s="1" t="s">
        <v>3232</v>
      </c>
      <c r="B1575" s="1" t="s">
        <v>3233</v>
      </c>
      <c r="C1575" s="15">
        <f>+36203289309</f>
        <v>36203289309</v>
      </c>
      <c r="D1575" s="1">
        <v>3.0</v>
      </c>
      <c r="E1575" s="1">
        <v>2.0</v>
      </c>
      <c r="F1575" s="1">
        <v>34700.0</v>
      </c>
    </row>
    <row r="1576">
      <c r="A1576" s="1" t="s">
        <v>3234</v>
      </c>
      <c r="B1576" s="1" t="s">
        <v>3235</v>
      </c>
      <c r="C1576" s="15">
        <f>+36302941142</f>
        <v>36302941142</v>
      </c>
      <c r="D1576" s="1">
        <v>2.0</v>
      </c>
      <c r="E1576" s="1">
        <v>2.0</v>
      </c>
      <c r="F1576" s="1">
        <v>26100.0</v>
      </c>
    </row>
    <row r="1577">
      <c r="A1577" s="1" t="s">
        <v>3236</v>
      </c>
      <c r="B1577" s="1" t="s">
        <v>3237</v>
      </c>
      <c r="C1577" s="15">
        <f>+36202198080</f>
        <v>36202198080</v>
      </c>
      <c r="D1577" s="1">
        <v>2.0</v>
      </c>
      <c r="E1577" s="1">
        <v>2.0</v>
      </c>
      <c r="F1577" s="1">
        <v>19700.0</v>
      </c>
    </row>
    <row r="1578">
      <c r="A1578" s="1" t="s">
        <v>3238</v>
      </c>
      <c r="B1578" s="1" t="s">
        <v>3239</v>
      </c>
      <c r="C1578" s="15">
        <f>+36202352432</f>
        <v>36202352432</v>
      </c>
      <c r="D1578" s="1">
        <v>2.0</v>
      </c>
      <c r="E1578" s="1">
        <v>2.0</v>
      </c>
      <c r="F1578" s="1">
        <v>42600.0</v>
      </c>
    </row>
    <row r="1579">
      <c r="A1579" s="1" t="s">
        <v>3240</v>
      </c>
      <c r="B1579" s="1" t="s">
        <v>3241</v>
      </c>
      <c r="C1579" s="15">
        <f>+36706214291</f>
        <v>36706214291</v>
      </c>
      <c r="D1579" s="1">
        <v>2.0</v>
      </c>
      <c r="E1579" s="1">
        <v>2.0</v>
      </c>
      <c r="F1579" s="1">
        <v>16100.0</v>
      </c>
    </row>
    <row r="1580">
      <c r="A1580" s="1" t="s">
        <v>3242</v>
      </c>
      <c r="B1580" s="1" t="s">
        <v>3243</v>
      </c>
      <c r="C1580" s="15">
        <f>+421917642012</f>
        <v>421917642012</v>
      </c>
      <c r="D1580" s="1">
        <v>3.0</v>
      </c>
      <c r="E1580" s="1">
        <v>2.0</v>
      </c>
      <c r="F1580" s="1">
        <v>8900.0</v>
      </c>
    </row>
    <row r="1581">
      <c r="A1581" s="1" t="s">
        <v>3244</v>
      </c>
      <c r="B1581" s="1" t="s">
        <v>3245</v>
      </c>
      <c r="C1581" s="15">
        <f>+36706225423</f>
        <v>36706225423</v>
      </c>
      <c r="D1581" s="1">
        <v>2.0</v>
      </c>
      <c r="E1581" s="1">
        <v>2.0</v>
      </c>
      <c r="F1581" s="1">
        <v>20200.0</v>
      </c>
    </row>
    <row r="1582">
      <c r="A1582" s="1" t="s">
        <v>3246</v>
      </c>
      <c r="B1582" s="1" t="s">
        <v>3247</v>
      </c>
      <c r="C1582" s="15">
        <f>+36306486218</f>
        <v>36306486218</v>
      </c>
      <c r="D1582" s="1">
        <v>2.0</v>
      </c>
      <c r="E1582" s="1">
        <v>2.0</v>
      </c>
      <c r="F1582" s="1">
        <v>18500.0</v>
      </c>
    </row>
    <row r="1583">
      <c r="A1583" s="1" t="s">
        <v>3248</v>
      </c>
      <c r="B1583" s="1" t="s">
        <v>3249</v>
      </c>
      <c r="C1583" s="15">
        <f>+36203773752</f>
        <v>36203773752</v>
      </c>
      <c r="D1583" s="1">
        <v>1.0</v>
      </c>
      <c r="E1583" s="1">
        <v>2.0</v>
      </c>
      <c r="F1583" s="1">
        <v>56800.0</v>
      </c>
    </row>
    <row r="1584">
      <c r="A1584" s="1" t="s">
        <v>3250</v>
      </c>
      <c r="B1584" s="1" t="s">
        <v>3251</v>
      </c>
      <c r="C1584" s="15">
        <f>+36702107002</f>
        <v>36702107002</v>
      </c>
      <c r="D1584" s="1">
        <v>2.0</v>
      </c>
      <c r="E1584" s="1">
        <v>2.0</v>
      </c>
      <c r="F1584" s="1">
        <v>19400.0</v>
      </c>
    </row>
    <row r="1585">
      <c r="A1585" s="1" t="s">
        <v>3252</v>
      </c>
      <c r="B1585" s="1" t="s">
        <v>3253</v>
      </c>
      <c r="C1585" s="15">
        <f>+36205268100</f>
        <v>36205268100</v>
      </c>
      <c r="D1585" s="1">
        <v>2.0</v>
      </c>
      <c r="E1585" s="1">
        <v>2.0</v>
      </c>
      <c r="F1585" s="1">
        <v>22500.0</v>
      </c>
    </row>
    <row r="1586">
      <c r="A1586" s="1" t="s">
        <v>3254</v>
      </c>
      <c r="B1586" s="1" t="s">
        <v>3255</v>
      </c>
      <c r="C1586" s="15">
        <f>+36206196069</f>
        <v>36206196069</v>
      </c>
      <c r="D1586" s="1">
        <v>2.0</v>
      </c>
      <c r="E1586" s="1">
        <v>2.0</v>
      </c>
      <c r="F1586" s="1">
        <v>18700.0</v>
      </c>
    </row>
    <row r="1587">
      <c r="A1587" s="1" t="s">
        <v>3256</v>
      </c>
      <c r="B1587" s="1" t="s">
        <v>3257</v>
      </c>
      <c r="C1587" s="15">
        <f>+40722874024</f>
        <v>40722874024</v>
      </c>
      <c r="D1587" s="1">
        <v>1.0</v>
      </c>
      <c r="E1587" s="1">
        <v>2.0</v>
      </c>
      <c r="F1587" s="1">
        <v>47600.0</v>
      </c>
    </row>
    <row r="1588">
      <c r="A1588" s="1" t="s">
        <v>3258</v>
      </c>
      <c r="B1588" s="1" t="s">
        <v>3259</v>
      </c>
      <c r="C1588" s="15">
        <f>+36703738721</f>
        <v>36703738721</v>
      </c>
      <c r="D1588" s="1">
        <v>2.0</v>
      </c>
      <c r="E1588" s="1">
        <v>2.0</v>
      </c>
      <c r="F1588" s="1">
        <v>23500.0</v>
      </c>
    </row>
    <row r="1589">
      <c r="A1589" s="1" t="s">
        <v>3260</v>
      </c>
      <c r="B1589" s="1" t="s">
        <v>3261</v>
      </c>
      <c r="C1589" s="15">
        <f>+36703116657</f>
        <v>36703116657</v>
      </c>
      <c r="D1589" s="1">
        <v>2.0</v>
      </c>
      <c r="E1589" s="1">
        <v>2.0</v>
      </c>
      <c r="F1589" s="1">
        <v>40900.0</v>
      </c>
    </row>
    <row r="1590">
      <c r="A1590" s="1" t="s">
        <v>3262</v>
      </c>
      <c r="B1590" s="1" t="s">
        <v>3263</v>
      </c>
      <c r="C1590" s="15">
        <f>+36306588428</f>
        <v>36306588428</v>
      </c>
      <c r="D1590" s="1">
        <v>2.0</v>
      </c>
      <c r="E1590" s="1">
        <v>2.0</v>
      </c>
      <c r="F1590" s="1">
        <v>21100.0</v>
      </c>
    </row>
    <row r="1591">
      <c r="A1591" s="1" t="s">
        <v>3264</v>
      </c>
      <c r="B1591" s="1" t="s">
        <v>3265</v>
      </c>
      <c r="C1591" s="15">
        <f>+36304142326</f>
        <v>36304142326</v>
      </c>
      <c r="D1591" s="1">
        <v>2.0</v>
      </c>
      <c r="E1591" s="1">
        <v>2.0</v>
      </c>
      <c r="F1591" s="1">
        <v>22100.0</v>
      </c>
    </row>
    <row r="1592">
      <c r="A1592" s="1" t="s">
        <v>3266</v>
      </c>
      <c r="B1592" s="1" t="s">
        <v>3267</v>
      </c>
      <c r="C1592" s="15">
        <f>+36706302969</f>
        <v>36706302969</v>
      </c>
      <c r="D1592" s="1">
        <v>2.0</v>
      </c>
      <c r="E1592" s="1">
        <v>2.0</v>
      </c>
      <c r="F1592" s="1">
        <v>19800.0</v>
      </c>
    </row>
    <row r="1593">
      <c r="A1593" s="1" t="s">
        <v>3268</v>
      </c>
      <c r="B1593" s="1" t="s">
        <v>3269</v>
      </c>
      <c r="C1593" s="15">
        <f>+36301836153</f>
        <v>36301836153</v>
      </c>
      <c r="D1593" s="1">
        <v>1.0</v>
      </c>
      <c r="E1593" s="1">
        <v>2.0</v>
      </c>
      <c r="F1593" s="1">
        <v>21000.0</v>
      </c>
    </row>
    <row r="1594">
      <c r="A1594" s="1" t="s">
        <v>3270</v>
      </c>
      <c r="B1594" s="1" t="s">
        <v>3271</v>
      </c>
      <c r="C1594" s="15">
        <f>+420702295394</f>
        <v>420702295394</v>
      </c>
      <c r="D1594" s="1">
        <v>2.0</v>
      </c>
      <c r="E1594" s="1">
        <v>2.0</v>
      </c>
      <c r="F1594" s="1">
        <v>42000.0</v>
      </c>
    </row>
    <row r="1595">
      <c r="A1595" s="1" t="s">
        <v>3272</v>
      </c>
      <c r="B1595" s="1" t="s">
        <v>3273</v>
      </c>
      <c r="C1595" s="15">
        <f>+31639623974</f>
        <v>31639623974</v>
      </c>
      <c r="D1595" s="1">
        <v>3.0</v>
      </c>
      <c r="E1595" s="1">
        <v>2.0</v>
      </c>
      <c r="F1595" s="1">
        <v>19200.0</v>
      </c>
    </row>
    <row r="1596">
      <c r="A1596" s="1" t="s">
        <v>3274</v>
      </c>
      <c r="B1596" s="1" t="s">
        <v>3275</v>
      </c>
      <c r="C1596" s="15">
        <f>+36304575692</f>
        <v>36304575692</v>
      </c>
      <c r="D1596" s="1">
        <v>3.0</v>
      </c>
      <c r="E1596" s="1">
        <v>2.0</v>
      </c>
      <c r="F1596" s="1">
        <v>9300.0</v>
      </c>
    </row>
    <row r="1597">
      <c r="A1597" s="1" t="s">
        <v>3276</v>
      </c>
      <c r="B1597" s="1" t="s">
        <v>3277</v>
      </c>
      <c r="C1597" s="15">
        <f>+36303505668</f>
        <v>36303505668</v>
      </c>
      <c r="D1597" s="1">
        <v>2.0</v>
      </c>
      <c r="E1597" s="1">
        <v>2.0</v>
      </c>
      <c r="F1597" s="1">
        <v>20400.0</v>
      </c>
    </row>
    <row r="1598">
      <c r="A1598" s="1" t="s">
        <v>3278</v>
      </c>
      <c r="B1598" s="1" t="s">
        <v>3279</v>
      </c>
      <c r="C1598" s="15">
        <f>+36204642548</f>
        <v>36204642548</v>
      </c>
      <c r="D1598" s="1">
        <v>1.0</v>
      </c>
      <c r="E1598" s="1">
        <v>2.0</v>
      </c>
      <c r="F1598" s="1">
        <v>19600.0</v>
      </c>
    </row>
    <row r="1599">
      <c r="A1599" s="1" t="s">
        <v>3280</v>
      </c>
      <c r="B1599" s="1" t="s">
        <v>3281</v>
      </c>
      <c r="C1599" s="15">
        <f>+436608153522</f>
        <v>436608153522</v>
      </c>
      <c r="D1599" s="1">
        <v>1.0</v>
      </c>
      <c r="E1599" s="1">
        <v>2.0</v>
      </c>
      <c r="F1599" s="1">
        <v>18000.0</v>
      </c>
    </row>
    <row r="1600">
      <c r="A1600" s="1" t="s">
        <v>3282</v>
      </c>
      <c r="B1600" s="1" t="s">
        <v>3283</v>
      </c>
      <c r="C1600" s="15">
        <f>+36702572655</f>
        <v>36702572655</v>
      </c>
      <c r="D1600" s="1">
        <v>3.0</v>
      </c>
      <c r="E1600" s="1">
        <v>2.0</v>
      </c>
      <c r="F1600" s="1">
        <v>142720.0</v>
      </c>
    </row>
    <row r="1601">
      <c r="A1601" s="1" t="s">
        <v>3284</v>
      </c>
      <c r="B1601" s="1" t="s">
        <v>3285</v>
      </c>
      <c r="C1601" s="15">
        <f>+40757057717</f>
        <v>40757057717</v>
      </c>
      <c r="D1601" s="1">
        <v>1.0</v>
      </c>
      <c r="E1601" s="1">
        <v>2.0</v>
      </c>
      <c r="F1601" s="1">
        <v>31600.0</v>
      </c>
    </row>
    <row r="1602">
      <c r="A1602" s="1" t="s">
        <v>3286</v>
      </c>
      <c r="B1602" s="1" t="s">
        <v>3287</v>
      </c>
      <c r="C1602" s="15">
        <f>+36304441439</f>
        <v>36304441439</v>
      </c>
      <c r="D1602" s="1">
        <v>2.0</v>
      </c>
      <c r="E1602" s="1">
        <v>2.0</v>
      </c>
      <c r="F1602" s="1">
        <v>23700.0</v>
      </c>
    </row>
    <row r="1603">
      <c r="A1603" s="1" t="s">
        <v>3288</v>
      </c>
      <c r="B1603" s="1" t="s">
        <v>3289</v>
      </c>
      <c r="C1603" s="15">
        <f>+36306814625</f>
        <v>36306814625</v>
      </c>
      <c r="D1603" s="1">
        <v>2.0</v>
      </c>
      <c r="E1603" s="1">
        <v>2.0</v>
      </c>
      <c r="F1603" s="1">
        <v>20300.0</v>
      </c>
    </row>
    <row r="1604">
      <c r="A1604" s="1" t="s">
        <v>3290</v>
      </c>
      <c r="B1604" s="1" t="s">
        <v>3291</v>
      </c>
      <c r="C1604" s="15">
        <f>+36305778475</f>
        <v>36305778475</v>
      </c>
      <c r="D1604" s="1">
        <v>2.0</v>
      </c>
      <c r="E1604" s="1">
        <v>2.0</v>
      </c>
      <c r="F1604" s="1">
        <v>19900.0</v>
      </c>
    </row>
    <row r="1605">
      <c r="A1605" s="1" t="s">
        <v>3292</v>
      </c>
      <c r="B1605" s="1" t="s">
        <v>3293</v>
      </c>
      <c r="C1605" s="15">
        <f>+36707992786</f>
        <v>36707992786</v>
      </c>
      <c r="D1605" s="1">
        <v>2.0</v>
      </c>
      <c r="E1605" s="1">
        <v>2.0</v>
      </c>
      <c r="F1605" s="1">
        <v>36400.0</v>
      </c>
    </row>
    <row r="1606">
      <c r="A1606" s="1" t="s">
        <v>3294</v>
      </c>
      <c r="B1606" s="1" t="s">
        <v>3295</v>
      </c>
      <c r="C1606" s="15">
        <f>+36309215773</f>
        <v>36309215773</v>
      </c>
      <c r="D1606" s="1">
        <v>2.0</v>
      </c>
      <c r="E1606" s="1">
        <v>2.0</v>
      </c>
      <c r="F1606" s="1">
        <v>20100.0</v>
      </c>
    </row>
    <row r="1607">
      <c r="A1607" s="1" t="s">
        <v>3296</v>
      </c>
      <c r="B1607" s="1" t="s">
        <v>3297</v>
      </c>
      <c r="C1607" s="15">
        <f>+36306814403</f>
        <v>36306814403</v>
      </c>
      <c r="D1607" s="1">
        <v>2.0</v>
      </c>
      <c r="E1607" s="1">
        <v>2.0</v>
      </c>
      <c r="F1607" s="1">
        <v>16800.0</v>
      </c>
    </row>
    <row r="1608">
      <c r="A1608" s="1" t="s">
        <v>3298</v>
      </c>
      <c r="B1608" s="1" t="s">
        <v>3299</v>
      </c>
      <c r="C1608" s="15">
        <f>+36301755008</f>
        <v>36301755008</v>
      </c>
      <c r="D1608" s="1">
        <v>1.0</v>
      </c>
      <c r="E1608" s="1">
        <v>2.0</v>
      </c>
      <c r="F1608" s="1">
        <v>16000.0</v>
      </c>
    </row>
    <row r="1609">
      <c r="A1609" s="1" t="s">
        <v>3300</v>
      </c>
      <c r="B1609" s="1" t="s">
        <v>3301</v>
      </c>
      <c r="C1609" s="15">
        <f>+36307377226</f>
        <v>36307377226</v>
      </c>
      <c r="D1609" s="1">
        <v>2.0</v>
      </c>
      <c r="E1609" s="1">
        <v>2.0</v>
      </c>
      <c r="F1609" s="1">
        <v>21900.0</v>
      </c>
    </row>
    <row r="1610">
      <c r="A1610" s="1" t="s">
        <v>3302</v>
      </c>
      <c r="B1610" s="1" t="s">
        <v>3303</v>
      </c>
      <c r="C1610" s="15">
        <f>+36706131526</f>
        <v>36706131526</v>
      </c>
      <c r="D1610" s="1">
        <v>2.0</v>
      </c>
      <c r="E1610" s="1">
        <v>2.0</v>
      </c>
      <c r="F1610" s="1">
        <v>22200.0</v>
      </c>
    </row>
    <row r="1611">
      <c r="A1611" s="1" t="s">
        <v>3304</v>
      </c>
      <c r="B1611" s="1" t="s">
        <v>3305</v>
      </c>
      <c r="C1611" s="15">
        <f>+36309402767</f>
        <v>36309402767</v>
      </c>
      <c r="D1611" s="1">
        <v>2.0</v>
      </c>
      <c r="E1611" s="1">
        <v>2.0</v>
      </c>
      <c r="F1611" s="1">
        <v>11300.0</v>
      </c>
    </row>
    <row r="1612">
      <c r="A1612" s="1" t="s">
        <v>3306</v>
      </c>
      <c r="B1612" s="1" t="s">
        <v>3307</v>
      </c>
      <c r="C1612" s="15">
        <f>+36706082545</f>
        <v>36706082545</v>
      </c>
      <c r="D1612" s="1">
        <v>2.0</v>
      </c>
      <c r="E1612" s="1">
        <v>2.0</v>
      </c>
      <c r="F1612" s="1">
        <v>28700.0</v>
      </c>
    </row>
    <row r="1613">
      <c r="A1613" s="1" t="s">
        <v>3308</v>
      </c>
      <c r="B1613" s="1" t="s">
        <v>3309</v>
      </c>
      <c r="C1613" s="15">
        <f>+36303535364</f>
        <v>36303535364</v>
      </c>
      <c r="D1613" s="1">
        <v>2.0</v>
      </c>
      <c r="E1613" s="1">
        <v>2.0</v>
      </c>
      <c r="F1613" s="1">
        <v>20500.0</v>
      </c>
    </row>
    <row r="1614">
      <c r="A1614" s="1" t="s">
        <v>3310</v>
      </c>
      <c r="B1614" s="1" t="s">
        <v>3311</v>
      </c>
      <c r="C1614" s="15">
        <f>+36704221667</f>
        <v>36704221667</v>
      </c>
      <c r="D1614" s="1">
        <v>2.0</v>
      </c>
      <c r="E1614" s="1">
        <v>2.0</v>
      </c>
      <c r="F1614" s="1">
        <v>18800.0</v>
      </c>
    </row>
    <row r="1615">
      <c r="A1615" s="1" t="s">
        <v>3312</v>
      </c>
      <c r="B1615" s="1" t="s">
        <v>3313</v>
      </c>
      <c r="C1615" s="15">
        <f>+36202368495</f>
        <v>36202368495</v>
      </c>
      <c r="D1615" s="1">
        <v>2.0</v>
      </c>
      <c r="E1615" s="1">
        <v>2.0</v>
      </c>
      <c r="F1615" s="1">
        <v>11300.0</v>
      </c>
    </row>
    <row r="1616">
      <c r="A1616" s="1" t="s">
        <v>3314</v>
      </c>
      <c r="B1616" s="1" t="s">
        <v>3315</v>
      </c>
      <c r="C1616" s="15">
        <f>+36707706565</f>
        <v>36707706565</v>
      </c>
      <c r="D1616" s="1">
        <v>2.0</v>
      </c>
      <c r="E1616" s="1">
        <v>2.0</v>
      </c>
      <c r="F1616" s="1">
        <v>22200.0</v>
      </c>
    </row>
    <row r="1617">
      <c r="A1617" s="1" t="s">
        <v>3316</v>
      </c>
      <c r="B1617" s="1" t="s">
        <v>3317</v>
      </c>
      <c r="C1617" s="15">
        <f>+36307487908</f>
        <v>36307487908</v>
      </c>
      <c r="D1617" s="1">
        <v>2.0</v>
      </c>
      <c r="E1617" s="1">
        <v>2.0</v>
      </c>
      <c r="F1617" s="1">
        <v>19600.0</v>
      </c>
    </row>
    <row r="1618">
      <c r="A1618" s="1" t="s">
        <v>3318</v>
      </c>
      <c r="B1618" s="1" t="s">
        <v>3319</v>
      </c>
      <c r="C1618" s="15">
        <f>+36308532430</f>
        <v>36308532430</v>
      </c>
      <c r="D1618" s="1">
        <v>1.0</v>
      </c>
      <c r="E1618" s="1">
        <v>2.0</v>
      </c>
      <c r="F1618" s="1">
        <v>44800.0</v>
      </c>
    </row>
    <row r="1619">
      <c r="A1619" s="1" t="s">
        <v>3320</v>
      </c>
      <c r="B1619" s="1" t="s">
        <v>3321</v>
      </c>
      <c r="C1619" s="15">
        <f>+36705458042</f>
        <v>36705458042</v>
      </c>
      <c r="D1619" s="1">
        <v>2.0</v>
      </c>
      <c r="E1619" s="1">
        <v>2.0</v>
      </c>
      <c r="F1619" s="1">
        <v>15000.0</v>
      </c>
    </row>
    <row r="1620">
      <c r="A1620" s="1" t="s">
        <v>3322</v>
      </c>
      <c r="B1620" s="1" t="s">
        <v>3323</v>
      </c>
      <c r="C1620" s="15">
        <f>+36703962761</f>
        <v>36703962761</v>
      </c>
      <c r="D1620" s="1">
        <v>3.0</v>
      </c>
      <c r="E1620" s="1">
        <v>2.0</v>
      </c>
      <c r="F1620" s="1">
        <v>31200.0</v>
      </c>
    </row>
    <row r="1621">
      <c r="A1621" s="1" t="s">
        <v>3324</v>
      </c>
      <c r="B1621" s="1" t="s">
        <v>3325</v>
      </c>
      <c r="C1621" s="15">
        <f>+36703742890</f>
        <v>36703742890</v>
      </c>
      <c r="D1621" s="1">
        <v>2.0</v>
      </c>
      <c r="E1621" s="1">
        <v>2.0</v>
      </c>
      <c r="F1621" s="1">
        <v>24000.0</v>
      </c>
    </row>
    <row r="1622">
      <c r="A1622" s="1" t="s">
        <v>3326</v>
      </c>
      <c r="B1622" s="1" t="s">
        <v>3327</v>
      </c>
      <c r="C1622" s="15">
        <f>+36704029620</f>
        <v>36704029620</v>
      </c>
      <c r="D1622" s="1">
        <v>2.0</v>
      </c>
      <c r="E1622" s="1">
        <v>2.0</v>
      </c>
      <c r="F1622" s="1">
        <v>15000.0</v>
      </c>
    </row>
    <row r="1623">
      <c r="A1623" s="1" t="s">
        <v>3328</v>
      </c>
      <c r="B1623" s="1" t="s">
        <v>3329</v>
      </c>
      <c r="C1623" s="15">
        <f>+36203353744</f>
        <v>36203353744</v>
      </c>
      <c r="D1623" s="1">
        <v>2.0</v>
      </c>
      <c r="E1623" s="1">
        <v>2.0</v>
      </c>
      <c r="F1623" s="1">
        <v>21200.0</v>
      </c>
    </row>
    <row r="1624">
      <c r="A1624" s="1" t="s">
        <v>3330</v>
      </c>
      <c r="B1624" s="1" t="s">
        <v>3331</v>
      </c>
      <c r="C1624" s="15">
        <f>+48660539235</f>
        <v>48660539235</v>
      </c>
      <c r="D1624" s="1">
        <v>2.0</v>
      </c>
      <c r="E1624" s="1">
        <v>2.0</v>
      </c>
      <c r="F1624" s="1">
        <v>29200.0</v>
      </c>
    </row>
    <row r="1625">
      <c r="A1625" s="1" t="s">
        <v>3332</v>
      </c>
      <c r="B1625" s="1" t="s">
        <v>3333</v>
      </c>
      <c r="C1625" s="15">
        <f>+36703883157</f>
        <v>36703883157</v>
      </c>
      <c r="D1625" s="1">
        <v>4.0</v>
      </c>
      <c r="E1625" s="1">
        <v>2.0</v>
      </c>
      <c r="F1625" s="1">
        <v>21200.0</v>
      </c>
    </row>
    <row r="1626">
      <c r="A1626" s="1" t="s">
        <v>3334</v>
      </c>
      <c r="B1626" s="1" t="s">
        <v>3335</v>
      </c>
      <c r="C1626" s="15">
        <f>+36205317642</f>
        <v>36205317642</v>
      </c>
      <c r="D1626" s="1">
        <v>2.0</v>
      </c>
      <c r="E1626" s="1">
        <v>2.0</v>
      </c>
      <c r="F1626" s="1">
        <v>20500.0</v>
      </c>
    </row>
    <row r="1627">
      <c r="A1627" s="1" t="s">
        <v>3336</v>
      </c>
      <c r="B1627" s="1" t="s">
        <v>3337</v>
      </c>
      <c r="C1627" s="15">
        <f>+36703245863</f>
        <v>36703245863</v>
      </c>
      <c r="D1627" s="1">
        <v>2.0</v>
      </c>
      <c r="E1627" s="1">
        <v>2.0</v>
      </c>
      <c r="F1627" s="1">
        <v>20400.0</v>
      </c>
    </row>
    <row r="1628">
      <c r="A1628" s="1" t="s">
        <v>3338</v>
      </c>
      <c r="B1628" s="1" t="s">
        <v>3339</v>
      </c>
      <c r="C1628" s="15">
        <f>+36307545494</f>
        <v>36307545494</v>
      </c>
      <c r="D1628" s="1">
        <v>2.0</v>
      </c>
      <c r="E1628" s="1">
        <v>2.0</v>
      </c>
      <c r="F1628" s="1">
        <v>20700.0</v>
      </c>
    </row>
    <row r="1629">
      <c r="A1629" s="1" t="s">
        <v>3340</v>
      </c>
      <c r="B1629" s="1" t="s">
        <v>3341</v>
      </c>
      <c r="C1629" s="15">
        <f>+36309452005</f>
        <v>36309452005</v>
      </c>
      <c r="D1629" s="1">
        <v>2.0</v>
      </c>
      <c r="E1629" s="1">
        <v>2.0</v>
      </c>
      <c r="F1629" s="1">
        <v>16900.0</v>
      </c>
    </row>
    <row r="1630">
      <c r="A1630" s="1" t="s">
        <v>3342</v>
      </c>
      <c r="B1630" s="1" t="s">
        <v>3343</v>
      </c>
      <c r="C1630" s="15">
        <f>+36709407307</f>
        <v>36709407307</v>
      </c>
      <c r="D1630" s="1">
        <v>1.0</v>
      </c>
      <c r="E1630" s="1">
        <v>2.0</v>
      </c>
      <c r="F1630" s="1">
        <v>19600.0</v>
      </c>
    </row>
    <row r="1631">
      <c r="A1631" s="1" t="s">
        <v>3344</v>
      </c>
      <c r="B1631" s="1" t="s">
        <v>3345</v>
      </c>
      <c r="C1631" s="15">
        <f>+36303496267</f>
        <v>36303496267</v>
      </c>
      <c r="D1631" s="1">
        <v>1.0</v>
      </c>
      <c r="E1631" s="1">
        <v>2.0</v>
      </c>
      <c r="F1631" s="1">
        <v>26000.0</v>
      </c>
    </row>
    <row r="1632">
      <c r="A1632" s="1" t="s">
        <v>3346</v>
      </c>
      <c r="B1632" s="1" t="s">
        <v>3347</v>
      </c>
      <c r="C1632" s="15">
        <f>+36305191168</f>
        <v>36305191168</v>
      </c>
      <c r="D1632" s="1">
        <v>1.0</v>
      </c>
      <c r="E1632" s="1">
        <v>2.0</v>
      </c>
      <c r="F1632" s="1">
        <v>23200.0</v>
      </c>
    </row>
    <row r="1633">
      <c r="A1633" s="1" t="s">
        <v>3348</v>
      </c>
      <c r="B1633" s="1" t="s">
        <v>3349</v>
      </c>
      <c r="C1633" s="15">
        <f>+36307817691</f>
        <v>36307817691</v>
      </c>
      <c r="D1633" s="1">
        <v>1.0</v>
      </c>
      <c r="E1633" s="1">
        <v>2.0</v>
      </c>
      <c r="F1633" s="1">
        <v>27600.0</v>
      </c>
    </row>
    <row r="1634">
      <c r="A1634" s="1" t="s">
        <v>3350</v>
      </c>
      <c r="B1634" s="1" t="s">
        <v>3351</v>
      </c>
      <c r="C1634" s="15">
        <f>+36304371737</f>
        <v>36304371737</v>
      </c>
      <c r="D1634" s="1">
        <v>2.0</v>
      </c>
      <c r="E1634" s="1">
        <v>2.0</v>
      </c>
      <c r="F1634" s="1">
        <v>19200.0</v>
      </c>
    </row>
    <row r="1635">
      <c r="A1635" s="1" t="s">
        <v>3352</v>
      </c>
      <c r="B1635" s="1" t="s">
        <v>3353</v>
      </c>
      <c r="C1635" s="15">
        <f>+36209655406</f>
        <v>36209655406</v>
      </c>
      <c r="D1635" s="1">
        <v>2.0</v>
      </c>
      <c r="E1635" s="1">
        <v>2.0</v>
      </c>
      <c r="F1635" s="1">
        <v>19600.0</v>
      </c>
    </row>
    <row r="1636">
      <c r="A1636" s="1" t="s">
        <v>3354</v>
      </c>
      <c r="B1636" s="1" t="s">
        <v>3355</v>
      </c>
      <c r="C1636" s="15">
        <f>+36301377241</f>
        <v>36301377241</v>
      </c>
      <c r="D1636" s="1">
        <v>1.0</v>
      </c>
      <c r="E1636" s="1">
        <v>2.0</v>
      </c>
      <c r="F1636" s="1">
        <v>31200.0</v>
      </c>
    </row>
    <row r="1637">
      <c r="A1637" s="1" t="s">
        <v>3356</v>
      </c>
      <c r="B1637" s="1" t="s">
        <v>3357</v>
      </c>
      <c r="C1637" s="15">
        <f>+36300135964</f>
        <v>36300135964</v>
      </c>
      <c r="D1637" s="1">
        <v>1.0</v>
      </c>
      <c r="E1637" s="1">
        <v>2.0</v>
      </c>
      <c r="F1637" s="1">
        <v>0.0</v>
      </c>
    </row>
    <row r="1638">
      <c r="A1638" s="1" t="s">
        <v>3358</v>
      </c>
      <c r="B1638" s="1" t="s">
        <v>3359</v>
      </c>
      <c r="C1638" s="15">
        <f>+36209886663</f>
        <v>36209886663</v>
      </c>
      <c r="D1638" s="1">
        <v>2.0</v>
      </c>
      <c r="E1638" s="1">
        <v>2.0</v>
      </c>
      <c r="F1638" s="1">
        <v>17100.0</v>
      </c>
    </row>
    <row r="1639">
      <c r="A1639" s="1" t="s">
        <v>3360</v>
      </c>
      <c r="B1639" s="1" t="s">
        <v>3361</v>
      </c>
      <c r="C1639" s="15">
        <f>+36306435812</f>
        <v>36306435812</v>
      </c>
      <c r="D1639" s="1">
        <v>1.0</v>
      </c>
      <c r="E1639" s="1">
        <v>2.0</v>
      </c>
      <c r="F1639" s="1">
        <v>18000.0</v>
      </c>
    </row>
    <row r="1640">
      <c r="A1640" s="1" t="s">
        <v>3362</v>
      </c>
      <c r="B1640" s="1" t="s">
        <v>3363</v>
      </c>
      <c r="C1640" s="15">
        <f>+36704572302</f>
        <v>36704572302</v>
      </c>
      <c r="D1640" s="1">
        <v>1.0</v>
      </c>
      <c r="E1640" s="1">
        <v>2.0</v>
      </c>
      <c r="F1640" s="1">
        <v>16000.0</v>
      </c>
    </row>
    <row r="1641">
      <c r="A1641" s="1" t="s">
        <v>3364</v>
      </c>
      <c r="B1641" s="1" t="s">
        <v>3365</v>
      </c>
      <c r="C1641" s="15">
        <f>+421918215683</f>
        <v>421918215683</v>
      </c>
      <c r="D1641" s="1">
        <v>2.0</v>
      </c>
      <c r="E1641" s="1">
        <v>2.0</v>
      </c>
      <c r="F1641" s="1">
        <v>15100.0</v>
      </c>
    </row>
    <row r="1642">
      <c r="A1642" s="1" t="s">
        <v>3366</v>
      </c>
      <c r="B1642" s="1" t="s">
        <v>3367</v>
      </c>
      <c r="C1642" s="15">
        <f>+36307017774</f>
        <v>36307017774</v>
      </c>
      <c r="D1642" s="1">
        <v>2.0</v>
      </c>
      <c r="E1642" s="1">
        <v>2.0</v>
      </c>
      <c r="F1642" s="1">
        <v>16100.0</v>
      </c>
    </row>
    <row r="1643">
      <c r="A1643" s="1" t="s">
        <v>3368</v>
      </c>
      <c r="B1643" s="1" t="s">
        <v>3369</v>
      </c>
      <c r="C1643" s="15">
        <f>+36704098723</f>
        <v>36704098723</v>
      </c>
      <c r="D1643" s="1">
        <v>2.0</v>
      </c>
      <c r="E1643" s="1">
        <v>2.0</v>
      </c>
      <c r="F1643" s="1">
        <v>23500.0</v>
      </c>
    </row>
    <row r="1644">
      <c r="A1644" s="1" t="s">
        <v>3370</v>
      </c>
      <c r="B1644" s="1" t="s">
        <v>3371</v>
      </c>
      <c r="C1644" s="15">
        <f>+36306208994</f>
        <v>36306208994</v>
      </c>
      <c r="D1644" s="1">
        <v>2.0</v>
      </c>
      <c r="E1644" s="1">
        <v>2.0</v>
      </c>
      <c r="F1644" s="1">
        <v>19400.0</v>
      </c>
    </row>
    <row r="1645">
      <c r="A1645" s="1" t="s">
        <v>3372</v>
      </c>
      <c r="B1645" s="1" t="s">
        <v>3373</v>
      </c>
      <c r="C1645" s="15">
        <f>+36303836398</f>
        <v>36303836398</v>
      </c>
      <c r="D1645" s="1">
        <v>1.0</v>
      </c>
      <c r="E1645" s="1">
        <v>2.0</v>
      </c>
      <c r="F1645" s="1">
        <v>26000.0</v>
      </c>
    </row>
    <row r="1646">
      <c r="A1646" s="1" t="s">
        <v>3374</v>
      </c>
      <c r="B1646" s="1" t="s">
        <v>3375</v>
      </c>
      <c r="C1646" s="15">
        <f>+36203502475</f>
        <v>36203502475</v>
      </c>
      <c r="D1646" s="1">
        <v>1.0</v>
      </c>
      <c r="E1646" s="1">
        <v>2.0</v>
      </c>
      <c r="F1646" s="1">
        <v>40400.0</v>
      </c>
    </row>
    <row r="1647">
      <c r="A1647" s="1" t="s">
        <v>3376</v>
      </c>
      <c r="B1647" s="1" t="s">
        <v>3377</v>
      </c>
      <c r="C1647" s="15">
        <f>+36209227468</f>
        <v>36209227468</v>
      </c>
      <c r="D1647" s="1">
        <v>2.0</v>
      </c>
      <c r="E1647" s="1">
        <v>2.0</v>
      </c>
      <c r="F1647" s="1">
        <v>22500.0</v>
      </c>
    </row>
    <row r="1648">
      <c r="A1648" s="1" t="s">
        <v>3378</v>
      </c>
      <c r="B1648" s="1" t="s">
        <v>3379</v>
      </c>
      <c r="C1648" s="15">
        <f>+36702712898</f>
        <v>36702712898</v>
      </c>
      <c r="D1648" s="1">
        <v>2.0</v>
      </c>
      <c r="E1648" s="1">
        <v>2.0</v>
      </c>
      <c r="F1648" s="1">
        <v>19500.0</v>
      </c>
    </row>
    <row r="1649">
      <c r="A1649" s="1" t="s">
        <v>3380</v>
      </c>
      <c r="B1649" s="1" t="s">
        <v>3381</v>
      </c>
      <c r="C1649" s="15">
        <f>+36202109426</f>
        <v>36202109426</v>
      </c>
      <c r="D1649" s="1">
        <v>3.0</v>
      </c>
      <c r="E1649" s="1">
        <v>2.0</v>
      </c>
      <c r="F1649" s="1">
        <v>30600.0</v>
      </c>
    </row>
    <row r="1650">
      <c r="A1650" s="1" t="s">
        <v>3382</v>
      </c>
      <c r="B1650" s="1" t="s">
        <v>3383</v>
      </c>
      <c r="C1650" s="15">
        <f>+36306206309</f>
        <v>36306206309</v>
      </c>
      <c r="D1650" s="1">
        <v>2.0</v>
      </c>
      <c r="E1650" s="1">
        <v>2.0</v>
      </c>
      <c r="F1650" s="1">
        <v>17900.0</v>
      </c>
    </row>
    <row r="1651">
      <c r="A1651" s="1" t="s">
        <v>3384</v>
      </c>
      <c r="B1651" s="1" t="s">
        <v>3385</v>
      </c>
      <c r="C1651" s="15">
        <f>+36204170775</f>
        <v>36204170775</v>
      </c>
      <c r="D1651" s="1">
        <v>2.0</v>
      </c>
      <c r="E1651" s="1">
        <v>2.0</v>
      </c>
      <c r="F1651" s="1">
        <v>22400.0</v>
      </c>
    </row>
    <row r="1652">
      <c r="A1652" s="1" t="s">
        <v>3386</v>
      </c>
      <c r="B1652" s="1" t="s">
        <v>3387</v>
      </c>
      <c r="C1652" s="15">
        <f>+36203439626</f>
        <v>36203439626</v>
      </c>
      <c r="D1652" s="1">
        <v>2.0</v>
      </c>
      <c r="E1652" s="1">
        <v>2.0</v>
      </c>
      <c r="F1652" s="1">
        <v>16200.0</v>
      </c>
    </row>
    <row r="1653">
      <c r="A1653" s="1" t="s">
        <v>3388</v>
      </c>
      <c r="B1653" s="1" t="s">
        <v>3389</v>
      </c>
      <c r="C1653" s="15">
        <f>+36303825910</f>
        <v>36303825910</v>
      </c>
      <c r="D1653" s="1">
        <v>3.0</v>
      </c>
      <c r="E1653" s="1">
        <v>2.0</v>
      </c>
      <c r="F1653" s="1">
        <v>24200.0</v>
      </c>
    </row>
    <row r="1654">
      <c r="A1654" s="1" t="s">
        <v>3390</v>
      </c>
      <c r="B1654" s="1" t="s">
        <v>3391</v>
      </c>
      <c r="C1654" s="15">
        <f>+40742393688</f>
        <v>40742393688</v>
      </c>
      <c r="D1654" s="1">
        <v>2.0</v>
      </c>
      <c r="E1654" s="1">
        <v>2.0</v>
      </c>
      <c r="F1654" s="1">
        <v>17100.0</v>
      </c>
    </row>
    <row r="1655">
      <c r="A1655" s="1" t="s">
        <v>3392</v>
      </c>
      <c r="B1655" s="1" t="s">
        <v>3393</v>
      </c>
      <c r="C1655" s="15">
        <f>+36304235268</f>
        <v>36304235268</v>
      </c>
      <c r="D1655" s="1">
        <v>2.0</v>
      </c>
      <c r="E1655" s="1">
        <v>2.0</v>
      </c>
      <c r="F1655" s="1">
        <v>21700.0</v>
      </c>
    </row>
    <row r="1656">
      <c r="A1656" s="1" t="s">
        <v>3394</v>
      </c>
      <c r="B1656" s="1" t="s">
        <v>3395</v>
      </c>
      <c r="C1656" s="15">
        <f>+36302386148</f>
        <v>36302386148</v>
      </c>
      <c r="D1656" s="1">
        <v>2.0</v>
      </c>
      <c r="E1656" s="1">
        <v>2.0</v>
      </c>
      <c r="F1656" s="1">
        <v>12800.0</v>
      </c>
    </row>
    <row r="1657">
      <c r="A1657" s="1" t="s">
        <v>3396</v>
      </c>
      <c r="B1657" s="1" t="s">
        <v>3397</v>
      </c>
      <c r="C1657" s="15">
        <f>+36308716860</f>
        <v>36308716860</v>
      </c>
      <c r="D1657" s="1">
        <v>2.0</v>
      </c>
      <c r="E1657" s="1">
        <v>2.0</v>
      </c>
      <c r="F1657" s="1">
        <v>20300.0</v>
      </c>
    </row>
    <row r="1658">
      <c r="A1658" s="1" t="s">
        <v>3398</v>
      </c>
      <c r="B1658" s="1" t="s">
        <v>3399</v>
      </c>
      <c r="C1658" s="15">
        <f>+36705507110</f>
        <v>36705507110</v>
      </c>
      <c r="D1658" s="1">
        <v>1.0</v>
      </c>
      <c r="E1658" s="1">
        <v>2.0</v>
      </c>
      <c r="F1658" s="1">
        <v>12400.0</v>
      </c>
    </row>
    <row r="1659">
      <c r="A1659" s="1" t="s">
        <v>3400</v>
      </c>
      <c r="B1659" s="1" t="s">
        <v>3401</v>
      </c>
      <c r="C1659" s="15">
        <f>+36301311749</f>
        <v>36301311749</v>
      </c>
      <c r="D1659" s="1">
        <v>3.0</v>
      </c>
      <c r="E1659" s="1">
        <v>2.0</v>
      </c>
      <c r="F1659" s="1">
        <v>14300.0</v>
      </c>
    </row>
    <row r="1660">
      <c r="A1660" s="1" t="s">
        <v>3402</v>
      </c>
      <c r="B1660" s="1" t="s">
        <v>3403</v>
      </c>
      <c r="C1660" s="15">
        <f>+36707755960</f>
        <v>36707755960</v>
      </c>
      <c r="D1660" s="1">
        <v>2.0</v>
      </c>
      <c r="E1660" s="1">
        <v>2.0</v>
      </c>
      <c r="F1660" s="1">
        <v>18800.0</v>
      </c>
    </row>
    <row r="1661">
      <c r="A1661" s="1" t="s">
        <v>3404</v>
      </c>
      <c r="B1661" s="1" t="s">
        <v>3405</v>
      </c>
      <c r="C1661" s="15">
        <f>+36203588931</f>
        <v>36203588931</v>
      </c>
      <c r="D1661" s="1">
        <v>2.0</v>
      </c>
      <c r="E1661" s="1">
        <v>2.0</v>
      </c>
      <c r="F1661" s="1">
        <v>13500.0</v>
      </c>
    </row>
    <row r="1662">
      <c r="A1662" s="1" t="s">
        <v>3406</v>
      </c>
      <c r="B1662" s="1" t="s">
        <v>3407</v>
      </c>
      <c r="C1662" s="15">
        <f>+36306256582</f>
        <v>36306256582</v>
      </c>
      <c r="D1662" s="1">
        <v>2.0</v>
      </c>
      <c r="E1662" s="1">
        <v>2.0</v>
      </c>
      <c r="F1662" s="1">
        <v>16100.0</v>
      </c>
    </row>
    <row r="1663">
      <c r="A1663" s="1" t="s">
        <v>3408</v>
      </c>
      <c r="B1663" s="1" t="s">
        <v>3409</v>
      </c>
      <c r="C1663" s="15">
        <f>+36706199923</f>
        <v>36706199923</v>
      </c>
      <c r="D1663" s="1">
        <v>2.0</v>
      </c>
      <c r="E1663" s="1">
        <v>2.0</v>
      </c>
      <c r="F1663" s="1">
        <v>29900.0</v>
      </c>
    </row>
    <row r="1664">
      <c r="A1664" s="1" t="s">
        <v>3410</v>
      </c>
      <c r="B1664" s="1" t="s">
        <v>3411</v>
      </c>
      <c r="C1664" s="15">
        <f>+421908379876</f>
        <v>421908379876</v>
      </c>
      <c r="D1664" s="1">
        <v>2.0</v>
      </c>
      <c r="E1664" s="1">
        <v>2.0</v>
      </c>
      <c r="F1664" s="1">
        <v>23100.0</v>
      </c>
    </row>
    <row r="1665">
      <c r="A1665" s="1" t="s">
        <v>3412</v>
      </c>
      <c r="B1665" s="1" t="s">
        <v>3413</v>
      </c>
      <c r="C1665" s="15">
        <f>+36305950358</f>
        <v>36305950358</v>
      </c>
      <c r="D1665" s="1">
        <v>2.0</v>
      </c>
      <c r="E1665" s="1">
        <v>2.0</v>
      </c>
      <c r="F1665" s="1">
        <v>24700.0</v>
      </c>
    </row>
    <row r="1666">
      <c r="A1666" s="1" t="s">
        <v>3414</v>
      </c>
      <c r="B1666" s="1" t="s">
        <v>3415</v>
      </c>
      <c r="C1666" s="15">
        <f>+36309769614</f>
        <v>36309769614</v>
      </c>
      <c r="D1666" s="1">
        <v>1.0</v>
      </c>
      <c r="E1666" s="1">
        <v>2.0</v>
      </c>
      <c r="F1666" s="1">
        <v>25000.0</v>
      </c>
    </row>
    <row r="1667">
      <c r="A1667" s="1" t="s">
        <v>3416</v>
      </c>
      <c r="B1667" s="1" t="s">
        <v>3417</v>
      </c>
      <c r="C1667" s="15">
        <f>+36305464544</f>
        <v>36305464544</v>
      </c>
      <c r="D1667" s="1">
        <v>2.0</v>
      </c>
      <c r="E1667" s="1">
        <v>2.0</v>
      </c>
      <c r="F1667" s="1">
        <v>17900.0</v>
      </c>
    </row>
    <row r="1668">
      <c r="A1668" s="1" t="s">
        <v>3418</v>
      </c>
      <c r="B1668" s="1" t="s">
        <v>3419</v>
      </c>
      <c r="C1668" s="15">
        <f>+36306182258</f>
        <v>36306182258</v>
      </c>
      <c r="D1668" s="1">
        <v>2.0</v>
      </c>
      <c r="E1668" s="1">
        <v>2.0</v>
      </c>
      <c r="F1668" s="1">
        <v>18900.0</v>
      </c>
    </row>
    <row r="1669">
      <c r="A1669" s="1" t="s">
        <v>3420</v>
      </c>
      <c r="B1669" s="1" t="s">
        <v>3421</v>
      </c>
      <c r="C1669" s="15">
        <f>+36206658530</f>
        <v>36206658530</v>
      </c>
      <c r="D1669" s="1">
        <v>2.0</v>
      </c>
      <c r="E1669" s="1">
        <v>2.0</v>
      </c>
      <c r="F1669" s="1">
        <v>19800.0</v>
      </c>
    </row>
    <row r="1670">
      <c r="A1670" s="1" t="s">
        <v>3422</v>
      </c>
      <c r="B1670" s="1" t="s">
        <v>3423</v>
      </c>
      <c r="C1670" s="15">
        <f>+38631789203</f>
        <v>38631789203</v>
      </c>
      <c r="D1670" s="1">
        <v>2.0</v>
      </c>
      <c r="E1670" s="1">
        <v>2.0</v>
      </c>
      <c r="F1670" s="1">
        <v>26800.0</v>
      </c>
    </row>
    <row r="1671">
      <c r="A1671" s="1" t="s">
        <v>3424</v>
      </c>
      <c r="B1671" s="1" t="s">
        <v>3425</v>
      </c>
      <c r="C1671" s="15">
        <f>+36309772380</f>
        <v>36309772380</v>
      </c>
      <c r="D1671" s="1">
        <v>2.0</v>
      </c>
      <c r="E1671" s="1">
        <v>2.0</v>
      </c>
      <c r="F1671" s="1">
        <v>13800.0</v>
      </c>
    </row>
    <row r="1672">
      <c r="A1672" s="1" t="s">
        <v>3426</v>
      </c>
      <c r="B1672" s="1" t="s">
        <v>3427</v>
      </c>
      <c r="C1672" s="15">
        <f>+36702844855</f>
        <v>36702844855</v>
      </c>
      <c r="D1672" s="1">
        <v>2.0</v>
      </c>
      <c r="E1672" s="1">
        <v>2.0</v>
      </c>
      <c r="F1672" s="1">
        <v>23300.0</v>
      </c>
    </row>
    <row r="1673">
      <c r="A1673" s="1" t="s">
        <v>3428</v>
      </c>
      <c r="B1673" s="1" t="s">
        <v>3429</v>
      </c>
      <c r="C1673" s="15">
        <f>+36203127618</f>
        <v>36203127618</v>
      </c>
      <c r="D1673" s="1">
        <v>1.0</v>
      </c>
      <c r="E1673" s="1">
        <v>2.0</v>
      </c>
      <c r="F1673" s="1">
        <v>23400.0</v>
      </c>
    </row>
    <row r="1674">
      <c r="A1674" s="1" t="s">
        <v>3430</v>
      </c>
      <c r="B1674" s="1" t="s">
        <v>3431</v>
      </c>
      <c r="C1674" s="15">
        <f>+36203958991</f>
        <v>36203958991</v>
      </c>
      <c r="D1674" s="1">
        <v>2.0</v>
      </c>
      <c r="E1674" s="1">
        <v>2.0</v>
      </c>
      <c r="F1674" s="1">
        <v>24300.0</v>
      </c>
    </row>
    <row r="1675">
      <c r="A1675" s="1" t="s">
        <v>3432</v>
      </c>
      <c r="B1675" s="1" t="s">
        <v>3433</v>
      </c>
      <c r="C1675" s="15">
        <f>+36202547678</f>
        <v>36202547678</v>
      </c>
      <c r="D1675" s="1">
        <v>2.0</v>
      </c>
      <c r="E1675" s="1">
        <v>2.0</v>
      </c>
      <c r="F1675" s="1">
        <v>11400.0</v>
      </c>
    </row>
    <row r="1676">
      <c r="A1676" s="1" t="s">
        <v>3434</v>
      </c>
      <c r="B1676" s="1" t="s">
        <v>3435</v>
      </c>
      <c r="C1676" s="15">
        <f>+36306407328</f>
        <v>36306407328</v>
      </c>
      <c r="D1676" s="1">
        <v>1.0</v>
      </c>
      <c r="E1676" s="1">
        <v>2.0</v>
      </c>
      <c r="F1676" s="1">
        <v>26000.0</v>
      </c>
    </row>
    <row r="1677">
      <c r="A1677" s="1" t="s">
        <v>3436</v>
      </c>
      <c r="B1677" s="1" t="s">
        <v>3437</v>
      </c>
      <c r="C1677" s="15">
        <f>+36204446277</f>
        <v>36204446277</v>
      </c>
      <c r="D1677" s="1">
        <v>4.0</v>
      </c>
      <c r="E1677" s="1">
        <v>2.0</v>
      </c>
      <c r="F1677" s="1">
        <v>0.0</v>
      </c>
    </row>
    <row r="1678">
      <c r="A1678" s="1" t="s">
        <v>3438</v>
      </c>
      <c r="B1678" s="1" t="s">
        <v>3439</v>
      </c>
      <c r="C1678" s="15">
        <f>+36309058087</f>
        <v>36309058087</v>
      </c>
      <c r="D1678" s="1">
        <v>1.0</v>
      </c>
      <c r="E1678" s="1">
        <v>2.0</v>
      </c>
      <c r="F1678" s="1">
        <v>23600.0</v>
      </c>
    </row>
    <row r="1679">
      <c r="A1679" s="1" t="s">
        <v>3440</v>
      </c>
      <c r="B1679" s="1" t="s">
        <v>3441</v>
      </c>
      <c r="C1679" s="15">
        <f>+36209817026</f>
        <v>36209817026</v>
      </c>
      <c r="D1679" s="1">
        <v>1.0</v>
      </c>
      <c r="E1679" s="1">
        <v>2.0</v>
      </c>
      <c r="F1679" s="1">
        <v>27600.0</v>
      </c>
    </row>
    <row r="1680">
      <c r="A1680" s="1" t="s">
        <v>3442</v>
      </c>
      <c r="B1680" s="1" t="s">
        <v>3443</v>
      </c>
      <c r="C1680" s="15">
        <f>+36307118807</f>
        <v>36307118807</v>
      </c>
      <c r="D1680" s="1">
        <v>2.0</v>
      </c>
      <c r="E1680" s="1">
        <v>2.0</v>
      </c>
      <c r="F1680" s="1">
        <v>20600.0</v>
      </c>
    </row>
    <row r="1681">
      <c r="A1681" s="1" t="s">
        <v>3444</v>
      </c>
      <c r="B1681" s="1" t="s">
        <v>3445</v>
      </c>
      <c r="C1681" s="15">
        <f>+40753708208</f>
        <v>40753708208</v>
      </c>
      <c r="D1681" s="1">
        <v>2.0</v>
      </c>
      <c r="E1681" s="1">
        <v>2.0</v>
      </c>
      <c r="F1681" s="1">
        <v>17000.0</v>
      </c>
    </row>
    <row r="1682">
      <c r="A1682" s="1" t="s">
        <v>3446</v>
      </c>
      <c r="B1682" s="1" t="s">
        <v>3447</v>
      </c>
      <c r="C1682" s="15">
        <f>+36303370494</f>
        <v>36303370494</v>
      </c>
      <c r="D1682" s="1">
        <v>2.0</v>
      </c>
      <c r="E1682" s="1">
        <v>2.0</v>
      </c>
      <c r="F1682" s="1">
        <v>28800.0</v>
      </c>
    </row>
    <row r="1683">
      <c r="A1683" s="1" t="s">
        <v>3448</v>
      </c>
      <c r="B1683" s="1" t="s">
        <v>3449</v>
      </c>
      <c r="C1683" s="15">
        <f>+36202660292</f>
        <v>36202660292</v>
      </c>
      <c r="D1683" s="1">
        <v>4.0</v>
      </c>
      <c r="E1683" s="1">
        <v>2.0</v>
      </c>
      <c r="F1683" s="1">
        <v>33900.0</v>
      </c>
    </row>
    <row r="1684">
      <c r="A1684" s="1" t="s">
        <v>3450</v>
      </c>
      <c r="B1684" s="1" t="s">
        <v>3451</v>
      </c>
      <c r="C1684" s="15">
        <f>+36707016487</f>
        <v>36707016487</v>
      </c>
      <c r="D1684" s="1">
        <v>1.0</v>
      </c>
      <c r="E1684" s="1">
        <v>2.0</v>
      </c>
      <c r="F1684" s="1">
        <v>23600.0</v>
      </c>
    </row>
    <row r="1685">
      <c r="A1685" s="1" t="s">
        <v>3452</v>
      </c>
      <c r="B1685" s="1" t="s">
        <v>3453</v>
      </c>
      <c r="C1685" s="15">
        <f>+36203797701</f>
        <v>36203797701</v>
      </c>
      <c r="D1685" s="1">
        <v>2.0</v>
      </c>
      <c r="E1685" s="1">
        <v>2.0</v>
      </c>
      <c r="F1685" s="1">
        <v>17500.0</v>
      </c>
    </row>
    <row r="1686">
      <c r="A1686" s="1" t="s">
        <v>3454</v>
      </c>
      <c r="B1686" s="1" t="s">
        <v>3455</v>
      </c>
      <c r="C1686" s="15">
        <f>+36309416046</f>
        <v>36309416046</v>
      </c>
      <c r="D1686" s="1">
        <v>3.0</v>
      </c>
      <c r="E1686" s="1">
        <v>2.0</v>
      </c>
      <c r="F1686" s="1">
        <v>36200.0</v>
      </c>
    </row>
    <row r="1687">
      <c r="A1687" s="1" t="s">
        <v>3456</v>
      </c>
      <c r="B1687" s="1" t="s">
        <v>3457</v>
      </c>
      <c r="C1687" s="15">
        <f>+36301838004</f>
        <v>36301838004</v>
      </c>
      <c r="D1687" s="1">
        <v>2.0</v>
      </c>
      <c r="E1687" s="1">
        <v>2.0</v>
      </c>
      <c r="F1687" s="1">
        <v>21100.0</v>
      </c>
    </row>
    <row r="1688">
      <c r="A1688" s="1" t="s">
        <v>3458</v>
      </c>
      <c r="B1688" s="1" t="s">
        <v>3459</v>
      </c>
      <c r="C1688" s="15">
        <f>+36303039685</f>
        <v>36303039685</v>
      </c>
      <c r="D1688" s="1">
        <v>2.0</v>
      </c>
      <c r="E1688" s="1">
        <v>2.0</v>
      </c>
      <c r="F1688" s="1">
        <v>20400.0</v>
      </c>
    </row>
    <row r="1689">
      <c r="A1689" s="1" t="s">
        <v>3460</v>
      </c>
      <c r="B1689" s="1" t="s">
        <v>3461</v>
      </c>
      <c r="C1689" s="15">
        <f>+36703613368</f>
        <v>36703613368</v>
      </c>
      <c r="D1689" s="1">
        <v>3.0</v>
      </c>
      <c r="E1689" s="1">
        <v>2.0</v>
      </c>
      <c r="F1689" s="1">
        <v>36800.0</v>
      </c>
    </row>
    <row r="1690">
      <c r="A1690" s="1" t="s">
        <v>3462</v>
      </c>
      <c r="B1690" s="1" t="s">
        <v>3463</v>
      </c>
      <c r="C1690" s="15">
        <f>+36209780181</f>
        <v>36209780181</v>
      </c>
      <c r="D1690" s="1">
        <v>3.0</v>
      </c>
      <c r="E1690" s="1">
        <v>2.0</v>
      </c>
      <c r="F1690" s="1">
        <v>21500.0</v>
      </c>
    </row>
    <row r="1691">
      <c r="A1691" s="1" t="s">
        <v>3464</v>
      </c>
      <c r="B1691" s="1" t="s">
        <v>3465</v>
      </c>
      <c r="C1691" s="15">
        <f>+36205891595</f>
        <v>36205891595</v>
      </c>
      <c r="D1691" s="1">
        <v>2.0</v>
      </c>
      <c r="E1691" s="1">
        <v>2.0</v>
      </c>
      <c r="F1691" s="1">
        <v>19500.0</v>
      </c>
    </row>
    <row r="1692">
      <c r="A1692" s="1" t="s">
        <v>3466</v>
      </c>
      <c r="B1692" s="1" t="s">
        <v>3467</v>
      </c>
      <c r="C1692" s="15">
        <f>+40787212706</f>
        <v>40787212706</v>
      </c>
      <c r="D1692" s="1">
        <v>1.0</v>
      </c>
      <c r="E1692" s="1">
        <v>2.0</v>
      </c>
      <c r="F1692" s="1">
        <v>14400.0</v>
      </c>
    </row>
    <row r="1693">
      <c r="A1693" s="1" t="s">
        <v>3468</v>
      </c>
      <c r="B1693" s="1" t="s">
        <v>3469</v>
      </c>
      <c r="C1693" s="15">
        <f>+36209809578</f>
        <v>36209809578</v>
      </c>
      <c r="D1693" s="1">
        <v>2.0</v>
      </c>
      <c r="E1693" s="1">
        <v>2.0</v>
      </c>
      <c r="F1693" s="1">
        <v>23600.0</v>
      </c>
    </row>
    <row r="1694">
      <c r="A1694" s="1" t="s">
        <v>3470</v>
      </c>
      <c r="B1694" s="1" t="s">
        <v>3471</v>
      </c>
      <c r="C1694" s="15">
        <f>+36306875528</f>
        <v>36306875528</v>
      </c>
      <c r="D1694" s="1">
        <v>2.0</v>
      </c>
      <c r="E1694" s="1">
        <v>2.0</v>
      </c>
      <c r="F1694" s="1">
        <v>20300.0</v>
      </c>
    </row>
    <row r="1695">
      <c r="A1695" s="1" t="s">
        <v>3472</v>
      </c>
      <c r="B1695" s="1" t="s">
        <v>3473</v>
      </c>
      <c r="C1695" s="15">
        <f>+36204186195</f>
        <v>36204186195</v>
      </c>
      <c r="D1695" s="1">
        <v>2.0</v>
      </c>
      <c r="E1695" s="1">
        <v>2.0</v>
      </c>
      <c r="F1695" s="1">
        <v>36500.0</v>
      </c>
    </row>
    <row r="1696">
      <c r="A1696" s="1" t="s">
        <v>3474</v>
      </c>
      <c r="B1696" s="1" t="s">
        <v>3475</v>
      </c>
      <c r="C1696" s="15">
        <f>+36706002202</f>
        <v>36706002202</v>
      </c>
      <c r="D1696" s="1">
        <v>2.0</v>
      </c>
      <c r="E1696" s="1">
        <v>2.0</v>
      </c>
      <c r="F1696" s="1">
        <v>20100.0</v>
      </c>
    </row>
    <row r="1697">
      <c r="A1697" s="1" t="s">
        <v>3476</v>
      </c>
      <c r="B1697" s="1" t="s">
        <v>3477</v>
      </c>
      <c r="C1697" s="15">
        <f>+36709059398</f>
        <v>36709059398</v>
      </c>
      <c r="D1697" s="1">
        <v>2.0</v>
      </c>
      <c r="E1697" s="1">
        <v>2.0</v>
      </c>
      <c r="F1697" s="1">
        <v>22100.0</v>
      </c>
    </row>
    <row r="1698">
      <c r="A1698" s="1" t="s">
        <v>3478</v>
      </c>
      <c r="B1698" s="1" t="s">
        <v>3479</v>
      </c>
      <c r="C1698" s="15">
        <f>+36706399212</f>
        <v>36706399212</v>
      </c>
      <c r="D1698" s="1">
        <v>2.0</v>
      </c>
      <c r="E1698" s="1">
        <v>2.0</v>
      </c>
      <c r="F1698" s="1">
        <v>21600.0</v>
      </c>
    </row>
    <row r="1699">
      <c r="A1699" s="1" t="s">
        <v>3480</v>
      </c>
      <c r="B1699" s="1" t="s">
        <v>3481</v>
      </c>
      <c r="C1699" s="15">
        <f>+381691993308</f>
        <v>381691993308</v>
      </c>
      <c r="D1699" s="1">
        <v>1.0</v>
      </c>
      <c r="E1699" s="1">
        <v>2.0</v>
      </c>
      <c r="F1699" s="1">
        <v>26000.0</v>
      </c>
    </row>
    <row r="1700">
      <c r="A1700" s="1" t="s">
        <v>3482</v>
      </c>
      <c r="B1700" s="1" t="s">
        <v>3483</v>
      </c>
      <c r="C1700" s="15">
        <f>+36308978875</f>
        <v>36308978875</v>
      </c>
      <c r="D1700" s="1">
        <v>4.0</v>
      </c>
      <c r="E1700" s="1">
        <v>2.0</v>
      </c>
      <c r="F1700" s="1">
        <v>31400.0</v>
      </c>
    </row>
    <row r="1701">
      <c r="A1701" s="1" t="s">
        <v>3484</v>
      </c>
      <c r="B1701" s="1" t="s">
        <v>3485</v>
      </c>
      <c r="C1701" s="15">
        <f>+36209338463</f>
        <v>36209338463</v>
      </c>
      <c r="D1701" s="1">
        <v>2.0</v>
      </c>
      <c r="E1701" s="1">
        <v>2.0</v>
      </c>
      <c r="F1701" s="1">
        <v>25900.0</v>
      </c>
    </row>
    <row r="1702">
      <c r="A1702" s="1" t="s">
        <v>3486</v>
      </c>
      <c r="B1702" s="1" t="s">
        <v>3487</v>
      </c>
      <c r="C1702" s="15">
        <f>+36307257814</f>
        <v>36307257814</v>
      </c>
      <c r="D1702" s="1">
        <v>2.0</v>
      </c>
      <c r="E1702" s="1">
        <v>2.0</v>
      </c>
      <c r="F1702" s="1">
        <v>19600.0</v>
      </c>
    </row>
    <row r="1703">
      <c r="A1703" s="1" t="s">
        <v>3488</v>
      </c>
      <c r="B1703" s="1" t="s">
        <v>3489</v>
      </c>
      <c r="C1703" s="15">
        <f>+36303855765</f>
        <v>36303855765</v>
      </c>
      <c r="D1703" s="1">
        <v>2.0</v>
      </c>
      <c r="E1703" s="1">
        <v>2.0</v>
      </c>
      <c r="F1703" s="1">
        <v>21400.0</v>
      </c>
    </row>
    <row r="1704">
      <c r="A1704" s="1" t="s">
        <v>3490</v>
      </c>
      <c r="B1704" s="1" t="s">
        <v>3491</v>
      </c>
      <c r="C1704" s="15">
        <f>+36306267588</f>
        <v>36306267588</v>
      </c>
      <c r="D1704" s="1">
        <v>3.0</v>
      </c>
      <c r="E1704" s="1">
        <v>2.0</v>
      </c>
      <c r="F1704" s="1">
        <v>22300.0</v>
      </c>
    </row>
    <row r="1705">
      <c r="A1705" s="1" t="s">
        <v>3492</v>
      </c>
      <c r="B1705" s="1" t="s">
        <v>3493</v>
      </c>
      <c r="C1705" s="15">
        <f>+385915664668</f>
        <v>385915664668</v>
      </c>
      <c r="D1705" s="1">
        <v>2.0</v>
      </c>
      <c r="E1705" s="1">
        <v>2.0</v>
      </c>
      <c r="F1705" s="1">
        <v>29300.0</v>
      </c>
    </row>
    <row r="1706">
      <c r="A1706" s="1" t="s">
        <v>3494</v>
      </c>
      <c r="B1706" s="1" t="s">
        <v>3495</v>
      </c>
      <c r="C1706" s="15">
        <f>+36703188875</f>
        <v>36703188875</v>
      </c>
      <c r="D1706" s="1">
        <v>2.0</v>
      </c>
      <c r="E1706" s="1">
        <v>2.0</v>
      </c>
      <c r="F1706" s="1">
        <v>50000.0</v>
      </c>
    </row>
    <row r="1707">
      <c r="A1707" s="1" t="s">
        <v>3496</v>
      </c>
      <c r="B1707" s="1" t="s">
        <v>3497</v>
      </c>
      <c r="C1707" s="15">
        <f>+421907478358</f>
        <v>421907478358</v>
      </c>
      <c r="D1707" s="1">
        <v>3.0</v>
      </c>
      <c r="E1707" s="1">
        <v>2.0</v>
      </c>
      <c r="F1707" s="1">
        <v>12100.0</v>
      </c>
    </row>
    <row r="1708">
      <c r="A1708" s="1" t="s">
        <v>3498</v>
      </c>
      <c r="B1708" s="1" t="s">
        <v>3499</v>
      </c>
      <c r="C1708" s="15">
        <f>+36303436078</f>
        <v>36303436078</v>
      </c>
      <c r="D1708" s="1">
        <v>1.0</v>
      </c>
      <c r="E1708" s="1">
        <v>2.0</v>
      </c>
      <c r="F1708" s="1">
        <v>21200.0</v>
      </c>
    </row>
    <row r="1709">
      <c r="A1709" s="1" t="s">
        <v>3500</v>
      </c>
      <c r="B1709" s="1" t="s">
        <v>3501</v>
      </c>
      <c r="C1709" s="15">
        <f>+36703981225</f>
        <v>36703981225</v>
      </c>
      <c r="D1709" s="1">
        <v>2.0</v>
      </c>
      <c r="E1709" s="1">
        <v>2.0</v>
      </c>
      <c r="F1709" s="1">
        <v>35500.0</v>
      </c>
    </row>
    <row r="1710">
      <c r="A1710" s="1" t="s">
        <v>3502</v>
      </c>
      <c r="B1710" s="1" t="s">
        <v>3503</v>
      </c>
      <c r="C1710" s="15">
        <f>+36303661199</f>
        <v>36303661199</v>
      </c>
      <c r="D1710" s="1">
        <v>2.0</v>
      </c>
      <c r="E1710" s="1">
        <v>2.0</v>
      </c>
      <c r="F1710" s="1">
        <v>25500.0</v>
      </c>
    </row>
    <row r="1711">
      <c r="A1711" s="1" t="s">
        <v>3504</v>
      </c>
      <c r="B1711" s="1" t="s">
        <v>3505</v>
      </c>
      <c r="C1711" s="15">
        <f>+36705705442</f>
        <v>36705705442</v>
      </c>
      <c r="D1711" s="1">
        <v>2.0</v>
      </c>
      <c r="E1711" s="1">
        <v>2.0</v>
      </c>
      <c r="F1711" s="1">
        <v>19700.0</v>
      </c>
    </row>
    <row r="1712">
      <c r="A1712" s="1" t="s">
        <v>3506</v>
      </c>
      <c r="B1712" s="1" t="s">
        <v>3507</v>
      </c>
      <c r="C1712" s="15">
        <f>+36202039557</f>
        <v>36202039557</v>
      </c>
      <c r="D1712" s="1">
        <v>2.0</v>
      </c>
      <c r="E1712" s="1">
        <v>2.0</v>
      </c>
      <c r="F1712" s="1">
        <v>19400.0</v>
      </c>
    </row>
    <row r="1713">
      <c r="A1713" s="1" t="s">
        <v>3508</v>
      </c>
      <c r="B1713" s="1" t="s">
        <v>3509</v>
      </c>
      <c r="C1713" s="15">
        <f>+36204903900</f>
        <v>36204903900</v>
      </c>
      <c r="D1713" s="1">
        <v>2.0</v>
      </c>
      <c r="E1713" s="1">
        <v>2.0</v>
      </c>
      <c r="F1713" s="1">
        <v>28200.0</v>
      </c>
    </row>
    <row r="1714">
      <c r="A1714" s="1" t="s">
        <v>3510</v>
      </c>
      <c r="B1714" s="1" t="s">
        <v>3511</v>
      </c>
      <c r="C1714" s="15">
        <f>+36303338543</f>
        <v>36303338543</v>
      </c>
      <c r="D1714" s="1">
        <v>2.0</v>
      </c>
      <c r="E1714" s="1">
        <v>2.0</v>
      </c>
      <c r="F1714" s="1">
        <v>17900.0</v>
      </c>
    </row>
    <row r="1715">
      <c r="A1715" s="1" t="s">
        <v>3512</v>
      </c>
      <c r="B1715" s="1" t="s">
        <v>3513</v>
      </c>
      <c r="C1715" s="15">
        <f>+421905477794</f>
        <v>421905477794</v>
      </c>
      <c r="D1715" s="1">
        <v>1.0</v>
      </c>
      <c r="E1715" s="1">
        <v>2.0</v>
      </c>
      <c r="F1715" s="1">
        <v>23600.0</v>
      </c>
    </row>
    <row r="1716">
      <c r="A1716" s="1" t="s">
        <v>3514</v>
      </c>
      <c r="B1716" s="1" t="s">
        <v>3515</v>
      </c>
      <c r="C1716" s="15">
        <f>+36702221151</f>
        <v>36702221151</v>
      </c>
      <c r="D1716" s="1">
        <v>1.0</v>
      </c>
      <c r="E1716" s="1">
        <v>2.0</v>
      </c>
      <c r="F1716" s="1">
        <v>18000.0</v>
      </c>
    </row>
    <row r="1717">
      <c r="A1717" s="1" t="s">
        <v>3516</v>
      </c>
      <c r="B1717" s="1" t="s">
        <v>3517</v>
      </c>
      <c r="C1717" s="15">
        <f>+36202729271</f>
        <v>36202729271</v>
      </c>
      <c r="D1717" s="1">
        <v>2.0</v>
      </c>
      <c r="E1717" s="1">
        <v>2.0</v>
      </c>
      <c r="F1717" s="1">
        <v>19900.0</v>
      </c>
    </row>
    <row r="1718">
      <c r="A1718" s="1" t="s">
        <v>3518</v>
      </c>
      <c r="B1718" s="1" t="s">
        <v>3519</v>
      </c>
      <c r="C1718" s="15">
        <f>+36702501907</f>
        <v>36702501907</v>
      </c>
      <c r="D1718" s="1">
        <v>2.0</v>
      </c>
      <c r="E1718" s="1">
        <v>2.0</v>
      </c>
      <c r="F1718" s="1">
        <v>18000.0</v>
      </c>
    </row>
    <row r="1719">
      <c r="A1719" s="1" t="s">
        <v>3520</v>
      </c>
      <c r="B1719" s="1" t="s">
        <v>3521</v>
      </c>
      <c r="C1719" s="15">
        <f>+36305140867</f>
        <v>36305140867</v>
      </c>
      <c r="D1719" s="1">
        <v>2.0</v>
      </c>
      <c r="E1719" s="1">
        <v>2.0</v>
      </c>
      <c r="F1719" s="1">
        <v>20500.0</v>
      </c>
    </row>
    <row r="1720">
      <c r="A1720" s="1" t="s">
        <v>3522</v>
      </c>
      <c r="B1720" s="1" t="s">
        <v>3523</v>
      </c>
      <c r="C1720" s="15">
        <f>+36208243130</f>
        <v>36208243130</v>
      </c>
      <c r="D1720" s="1">
        <v>1.0</v>
      </c>
      <c r="E1720" s="1">
        <v>2.0</v>
      </c>
      <c r="F1720" s="1">
        <v>16000.0</v>
      </c>
    </row>
    <row r="1721">
      <c r="A1721" s="1" t="s">
        <v>3524</v>
      </c>
      <c r="B1721" s="1" t="s">
        <v>3525</v>
      </c>
      <c r="C1721" s="15">
        <f>+36209739849</f>
        <v>36209739849</v>
      </c>
      <c r="D1721" s="1">
        <v>3.0</v>
      </c>
      <c r="E1721" s="1">
        <v>2.0</v>
      </c>
      <c r="F1721" s="1">
        <v>22700.0</v>
      </c>
    </row>
    <row r="1722">
      <c r="A1722" s="1" t="s">
        <v>3526</v>
      </c>
      <c r="B1722" s="1" t="s">
        <v>3527</v>
      </c>
      <c r="C1722" s="15">
        <f>+36705148717</f>
        <v>36705148717</v>
      </c>
      <c r="D1722" s="1">
        <v>2.0</v>
      </c>
      <c r="E1722" s="1">
        <v>2.0</v>
      </c>
      <c r="F1722" s="1">
        <v>13000.0</v>
      </c>
    </row>
    <row r="1723">
      <c r="A1723" s="1" t="s">
        <v>3528</v>
      </c>
      <c r="B1723" s="1" t="s">
        <v>3529</v>
      </c>
      <c r="C1723" s="15">
        <f>+36203349700</f>
        <v>36203349700</v>
      </c>
      <c r="D1723" s="1">
        <v>2.0</v>
      </c>
      <c r="E1723" s="1">
        <v>2.0</v>
      </c>
      <c r="F1723" s="1">
        <v>21200.0</v>
      </c>
    </row>
    <row r="1724">
      <c r="A1724" s="1" t="s">
        <v>3530</v>
      </c>
      <c r="B1724" s="1" t="s">
        <v>3531</v>
      </c>
      <c r="C1724" s="15">
        <f>+36304999292</f>
        <v>36304999292</v>
      </c>
      <c r="D1724" s="1">
        <v>3.0</v>
      </c>
      <c r="E1724" s="1">
        <v>2.0</v>
      </c>
      <c r="F1724" s="1">
        <v>18700.0</v>
      </c>
    </row>
    <row r="1725">
      <c r="A1725" s="1" t="s">
        <v>3532</v>
      </c>
      <c r="B1725" s="1" t="s">
        <v>3533</v>
      </c>
      <c r="C1725" s="15">
        <f>+36209138410</f>
        <v>36209138410</v>
      </c>
      <c r="D1725" s="1">
        <v>2.0</v>
      </c>
      <c r="E1725" s="1">
        <v>2.0</v>
      </c>
      <c r="F1725" s="1">
        <v>16100.0</v>
      </c>
    </row>
    <row r="1726">
      <c r="A1726" s="1" t="s">
        <v>3534</v>
      </c>
      <c r="B1726" s="1" t="s">
        <v>3535</v>
      </c>
      <c r="C1726" s="15">
        <f>+36703882253</f>
        <v>36703882253</v>
      </c>
      <c r="D1726" s="1">
        <v>2.0</v>
      </c>
      <c r="E1726" s="1">
        <v>2.0</v>
      </c>
      <c r="F1726" s="1">
        <v>23700.0</v>
      </c>
    </row>
    <row r="1727">
      <c r="A1727" s="1" t="s">
        <v>3536</v>
      </c>
      <c r="B1727" s="1" t="s">
        <v>3537</v>
      </c>
      <c r="C1727" s="15">
        <f>+36306778493</f>
        <v>36306778493</v>
      </c>
      <c r="D1727" s="1">
        <v>2.0</v>
      </c>
      <c r="E1727" s="1">
        <v>2.0</v>
      </c>
      <c r="F1727" s="1">
        <v>25500.0</v>
      </c>
    </row>
    <row r="1728">
      <c r="A1728" s="1" t="s">
        <v>3538</v>
      </c>
      <c r="B1728" s="1" t="s">
        <v>3539</v>
      </c>
      <c r="C1728" s="15">
        <f>+36302044668</f>
        <v>36302044668</v>
      </c>
      <c r="D1728" s="1">
        <v>2.0</v>
      </c>
      <c r="E1728" s="1">
        <v>2.0</v>
      </c>
      <c r="F1728" s="1">
        <v>14200.0</v>
      </c>
    </row>
    <row r="1729">
      <c r="A1729" s="1" t="s">
        <v>3540</v>
      </c>
      <c r="B1729" s="1" t="s">
        <v>3541</v>
      </c>
      <c r="C1729" s="15">
        <f>+36306360018</f>
        <v>36306360018</v>
      </c>
      <c r="D1729" s="1">
        <v>3.0</v>
      </c>
      <c r="E1729" s="1">
        <v>2.0</v>
      </c>
      <c r="F1729" s="1">
        <v>24600.0</v>
      </c>
    </row>
    <row r="1730">
      <c r="A1730" s="1" t="s">
        <v>3542</v>
      </c>
      <c r="B1730" s="1" t="s">
        <v>3543</v>
      </c>
      <c r="C1730" s="15">
        <f>+36705315437</f>
        <v>36705315437</v>
      </c>
      <c r="D1730" s="1">
        <v>2.0</v>
      </c>
      <c r="E1730" s="1">
        <v>2.0</v>
      </c>
      <c r="F1730" s="1">
        <v>17800.0</v>
      </c>
    </row>
    <row r="1731">
      <c r="A1731" s="1" t="s">
        <v>3544</v>
      </c>
      <c r="B1731" s="1" t="s">
        <v>3545</v>
      </c>
      <c r="C1731" s="15">
        <f>+36308339940</f>
        <v>36308339940</v>
      </c>
      <c r="D1731" s="1">
        <v>2.0</v>
      </c>
      <c r="E1731" s="1">
        <v>2.0</v>
      </c>
      <c r="F1731" s="1">
        <v>18700.0</v>
      </c>
    </row>
    <row r="1732">
      <c r="A1732" s="1" t="s">
        <v>3546</v>
      </c>
      <c r="B1732" s="1" t="s">
        <v>3547</v>
      </c>
      <c r="C1732" s="15">
        <f>+36309524069</f>
        <v>36309524069</v>
      </c>
      <c r="D1732" s="1">
        <v>2.0</v>
      </c>
      <c r="E1732" s="1">
        <v>2.0</v>
      </c>
      <c r="F1732" s="1">
        <v>23300.0</v>
      </c>
    </row>
    <row r="1733">
      <c r="A1733" s="1" t="s">
        <v>3548</v>
      </c>
      <c r="B1733" s="1" t="s">
        <v>3549</v>
      </c>
      <c r="C1733" s="15">
        <f>+36205290080</f>
        <v>36205290080</v>
      </c>
      <c r="D1733" s="1">
        <v>2.0</v>
      </c>
      <c r="E1733" s="1">
        <v>2.0</v>
      </c>
      <c r="F1733" s="1">
        <v>46500.0</v>
      </c>
    </row>
    <row r="1734">
      <c r="A1734" s="1" t="s">
        <v>3550</v>
      </c>
      <c r="B1734" s="1" t="s">
        <v>3551</v>
      </c>
      <c r="C1734" s="15">
        <f>+36205772670</f>
        <v>36205772670</v>
      </c>
      <c r="D1734" s="1">
        <v>2.0</v>
      </c>
      <c r="E1734" s="1">
        <v>2.0</v>
      </c>
      <c r="F1734" s="1">
        <v>24700.0</v>
      </c>
    </row>
    <row r="1735">
      <c r="A1735" s="1" t="s">
        <v>3552</v>
      </c>
      <c r="B1735" s="1" t="s">
        <v>3553</v>
      </c>
      <c r="C1735" s="15">
        <f>+36703679314</f>
        <v>36703679314</v>
      </c>
      <c r="D1735" s="1">
        <v>2.0</v>
      </c>
      <c r="E1735" s="1">
        <v>2.0</v>
      </c>
      <c r="F1735" s="1">
        <v>25500.0</v>
      </c>
    </row>
    <row r="1736">
      <c r="A1736" s="1" t="s">
        <v>3554</v>
      </c>
      <c r="B1736" s="1" t="s">
        <v>3555</v>
      </c>
      <c r="C1736" s="15">
        <f>+36309642620</f>
        <v>36309642620</v>
      </c>
      <c r="D1736" s="1">
        <v>3.0</v>
      </c>
      <c r="E1736" s="1">
        <v>2.0</v>
      </c>
      <c r="F1736" s="1">
        <v>28800.0</v>
      </c>
    </row>
    <row r="1737">
      <c r="A1737" s="1" t="s">
        <v>3556</v>
      </c>
      <c r="B1737" s="1" t="s">
        <v>3557</v>
      </c>
      <c r="C1737" s="15">
        <f>+36302104063</f>
        <v>36302104063</v>
      </c>
      <c r="D1737" s="1">
        <v>2.0</v>
      </c>
      <c r="E1737" s="1">
        <v>2.0</v>
      </c>
      <c r="F1737" s="1">
        <v>30200.0</v>
      </c>
    </row>
    <row r="1738">
      <c r="A1738" s="1" t="s">
        <v>3558</v>
      </c>
      <c r="B1738" s="1" t="s">
        <v>3559</v>
      </c>
      <c r="C1738" s="15">
        <f>+36306333696</f>
        <v>36306333696</v>
      </c>
      <c r="D1738" s="1">
        <v>2.0</v>
      </c>
      <c r="E1738" s="1">
        <v>2.0</v>
      </c>
      <c r="F1738" s="1">
        <v>40300.0</v>
      </c>
    </row>
    <row r="1739">
      <c r="A1739" s="1" t="s">
        <v>3560</v>
      </c>
      <c r="B1739" s="1" t="s">
        <v>3561</v>
      </c>
      <c r="C1739" s="15">
        <f>+36302786860</f>
        <v>36302786860</v>
      </c>
      <c r="D1739" s="1">
        <v>2.0</v>
      </c>
      <c r="E1739" s="1">
        <v>2.0</v>
      </c>
      <c r="F1739" s="1">
        <v>30100.0</v>
      </c>
    </row>
    <row r="1740">
      <c r="A1740" s="1" t="s">
        <v>3562</v>
      </c>
      <c r="B1740" s="1" t="s">
        <v>3563</v>
      </c>
      <c r="C1740" s="15">
        <f>+36202051472</f>
        <v>36202051472</v>
      </c>
      <c r="D1740" s="1">
        <v>2.0</v>
      </c>
      <c r="E1740" s="1">
        <v>2.0</v>
      </c>
      <c r="F1740" s="1">
        <v>19400.0</v>
      </c>
    </row>
    <row r="1741">
      <c r="A1741" s="1" t="s">
        <v>3564</v>
      </c>
      <c r="B1741" s="1" t="s">
        <v>3565</v>
      </c>
      <c r="C1741" s="15">
        <f>+36703973226</f>
        <v>36703973226</v>
      </c>
      <c r="D1741" s="1">
        <v>2.0</v>
      </c>
      <c r="E1741" s="1">
        <v>2.0</v>
      </c>
      <c r="F1741" s="1">
        <v>39500.0</v>
      </c>
    </row>
    <row r="1742">
      <c r="A1742" s="1" t="s">
        <v>3566</v>
      </c>
      <c r="B1742" s="1" t="s">
        <v>3567</v>
      </c>
      <c r="C1742" s="15">
        <f>+36703377313</f>
        <v>36703377313</v>
      </c>
      <c r="D1742" s="1">
        <v>2.0</v>
      </c>
      <c r="E1742" s="1">
        <v>2.0</v>
      </c>
      <c r="F1742" s="1">
        <v>22400.0</v>
      </c>
    </row>
    <row r="1743">
      <c r="A1743" s="1" t="s">
        <v>3568</v>
      </c>
      <c r="B1743" s="1" t="s">
        <v>3569</v>
      </c>
      <c r="C1743" s="15">
        <f>+36709486465</f>
        <v>36709486465</v>
      </c>
      <c r="D1743" s="1">
        <v>2.0</v>
      </c>
      <c r="E1743" s="1">
        <v>2.0</v>
      </c>
      <c r="F1743" s="1">
        <v>24100.0</v>
      </c>
    </row>
    <row r="1744">
      <c r="A1744" s="1" t="s">
        <v>3570</v>
      </c>
      <c r="B1744" s="1" t="s">
        <v>3571</v>
      </c>
      <c r="C1744" s="15">
        <f>+36209247394</f>
        <v>36209247394</v>
      </c>
      <c r="D1744" s="1">
        <v>2.0</v>
      </c>
      <c r="E1744" s="1">
        <v>2.0</v>
      </c>
      <c r="F1744" s="1">
        <v>21000.0</v>
      </c>
    </row>
    <row r="1745">
      <c r="A1745" s="1" t="s">
        <v>3572</v>
      </c>
      <c r="B1745" s="1" t="s">
        <v>3573</v>
      </c>
      <c r="C1745" s="15">
        <f>+36304860897</f>
        <v>36304860897</v>
      </c>
      <c r="D1745" s="1">
        <v>1.0</v>
      </c>
      <c r="E1745" s="1">
        <v>2.0</v>
      </c>
      <c r="F1745" s="1">
        <v>27600.0</v>
      </c>
    </row>
    <row r="1746">
      <c r="A1746" s="1" t="s">
        <v>3574</v>
      </c>
      <c r="B1746" s="1" t="s">
        <v>3575</v>
      </c>
      <c r="C1746" s="15">
        <f>+36702413937</f>
        <v>36702413937</v>
      </c>
      <c r="D1746" s="1">
        <v>2.0</v>
      </c>
      <c r="E1746" s="1">
        <v>2.0</v>
      </c>
      <c r="F1746" s="1">
        <v>24700.0</v>
      </c>
    </row>
    <row r="1747">
      <c r="A1747" s="1" t="s">
        <v>3576</v>
      </c>
      <c r="B1747" s="1" t="s">
        <v>3577</v>
      </c>
      <c r="C1747" s="15">
        <f>+36204244431</f>
        <v>36204244431</v>
      </c>
      <c r="D1747" s="1">
        <v>1.0</v>
      </c>
      <c r="E1747" s="1">
        <v>2.0</v>
      </c>
      <c r="F1747" s="1">
        <v>23400.0</v>
      </c>
    </row>
    <row r="1748">
      <c r="A1748" s="1" t="s">
        <v>3578</v>
      </c>
      <c r="B1748" s="1" t="s">
        <v>3579</v>
      </c>
      <c r="C1748" s="15">
        <f>+36306520982</f>
        <v>36306520982</v>
      </c>
      <c r="D1748" s="1">
        <v>2.0</v>
      </c>
      <c r="E1748" s="1">
        <v>2.0</v>
      </c>
      <c r="F1748" s="1">
        <v>17400.0</v>
      </c>
    </row>
    <row r="1749">
      <c r="A1749" s="1" t="s">
        <v>3580</v>
      </c>
      <c r="B1749" s="1" t="s">
        <v>3581</v>
      </c>
      <c r="C1749" s="15">
        <f>+36309202945</f>
        <v>36309202945</v>
      </c>
      <c r="D1749" s="1">
        <v>2.0</v>
      </c>
      <c r="E1749" s="1">
        <v>2.0</v>
      </c>
      <c r="F1749" s="1">
        <v>17100.0</v>
      </c>
    </row>
    <row r="1750">
      <c r="A1750" s="1" t="s">
        <v>3582</v>
      </c>
      <c r="B1750" s="1" t="s">
        <v>3583</v>
      </c>
      <c r="C1750" s="15">
        <f>+36302965716</f>
        <v>36302965716</v>
      </c>
      <c r="D1750" s="1">
        <v>2.0</v>
      </c>
      <c r="E1750" s="1">
        <v>2.0</v>
      </c>
      <c r="F1750" s="1">
        <v>19500.0</v>
      </c>
    </row>
    <row r="1751">
      <c r="A1751" s="1" t="s">
        <v>3584</v>
      </c>
      <c r="B1751" s="1" t="s">
        <v>3585</v>
      </c>
      <c r="C1751" s="15">
        <f>+36302114319</f>
        <v>36302114319</v>
      </c>
      <c r="D1751" s="1">
        <v>1.0</v>
      </c>
      <c r="E1751" s="1">
        <v>2.0</v>
      </c>
      <c r="F1751" s="1">
        <v>16200.0</v>
      </c>
    </row>
    <row r="1752">
      <c r="A1752" s="1" t="s">
        <v>3586</v>
      </c>
      <c r="B1752" s="1" t="s">
        <v>3587</v>
      </c>
      <c r="C1752" s="15">
        <f>+36306185760</f>
        <v>36306185760</v>
      </c>
      <c r="D1752" s="1">
        <v>2.0</v>
      </c>
      <c r="E1752" s="1">
        <v>2.0</v>
      </c>
      <c r="F1752" s="1">
        <v>25300.0</v>
      </c>
    </row>
    <row r="1753">
      <c r="A1753" s="1" t="s">
        <v>3588</v>
      </c>
      <c r="B1753" s="1" t="s">
        <v>3589</v>
      </c>
      <c r="C1753" s="15">
        <f>+36706060184</f>
        <v>36706060184</v>
      </c>
      <c r="D1753" s="1">
        <v>4.0</v>
      </c>
      <c r="E1753" s="1">
        <v>2.0</v>
      </c>
      <c r="F1753" s="1">
        <v>20500.0</v>
      </c>
    </row>
    <row r="1754">
      <c r="A1754" s="1" t="s">
        <v>3590</v>
      </c>
      <c r="B1754" s="1" t="s">
        <v>3591</v>
      </c>
      <c r="C1754" s="15">
        <f>+36304836136</f>
        <v>36304836136</v>
      </c>
      <c r="D1754" s="1">
        <v>2.0</v>
      </c>
      <c r="E1754" s="1">
        <v>2.0</v>
      </c>
      <c r="F1754" s="1">
        <v>27000.0</v>
      </c>
    </row>
    <row r="1755">
      <c r="A1755" s="1" t="s">
        <v>3592</v>
      </c>
      <c r="B1755" s="1" t="s">
        <v>3593</v>
      </c>
      <c r="C1755" s="15">
        <f>+36302556649</f>
        <v>36302556649</v>
      </c>
      <c r="D1755" s="1">
        <v>3.0</v>
      </c>
      <c r="E1755" s="1">
        <v>2.0</v>
      </c>
      <c r="F1755" s="1">
        <v>26000.0</v>
      </c>
    </row>
    <row r="1756">
      <c r="A1756" s="1" t="s">
        <v>3594</v>
      </c>
      <c r="B1756" s="1" t="s">
        <v>3595</v>
      </c>
      <c r="C1756" s="15">
        <f>+36304915099</f>
        <v>36304915099</v>
      </c>
      <c r="D1756" s="1">
        <v>2.0</v>
      </c>
      <c r="E1756" s="1">
        <v>2.0</v>
      </c>
      <c r="F1756" s="1">
        <v>23400.0</v>
      </c>
    </row>
    <row r="1757">
      <c r="A1757" s="1" t="s">
        <v>3596</v>
      </c>
      <c r="B1757" s="1" t="s">
        <v>3597</v>
      </c>
      <c r="C1757" s="15">
        <f>+36308392369</f>
        <v>36308392369</v>
      </c>
      <c r="D1757" s="1">
        <v>1.0</v>
      </c>
      <c r="E1757" s="1">
        <v>2.0</v>
      </c>
      <c r="F1757" s="1">
        <v>23400.0</v>
      </c>
    </row>
    <row r="1758">
      <c r="A1758" s="1" t="s">
        <v>3598</v>
      </c>
      <c r="B1758" s="1" t="s">
        <v>3599</v>
      </c>
      <c r="C1758" s="15">
        <f>+36305896939</f>
        <v>36305896939</v>
      </c>
      <c r="D1758" s="1">
        <v>2.0</v>
      </c>
      <c r="E1758" s="1">
        <v>2.0</v>
      </c>
      <c r="F1758" s="1">
        <v>34000.0</v>
      </c>
    </row>
    <row r="1759">
      <c r="A1759" s="1" t="s">
        <v>3600</v>
      </c>
      <c r="B1759" s="1" t="s">
        <v>3601</v>
      </c>
      <c r="C1759" s="15">
        <f>+36307225833</f>
        <v>36307225833</v>
      </c>
      <c r="D1759" s="1">
        <v>2.0</v>
      </c>
      <c r="E1759" s="1">
        <v>2.0</v>
      </c>
      <c r="F1759" s="1">
        <v>17000.0</v>
      </c>
    </row>
    <row r="1760">
      <c r="A1760" s="1" t="s">
        <v>3602</v>
      </c>
      <c r="B1760" s="1" t="s">
        <v>3603</v>
      </c>
      <c r="C1760" s="15">
        <f>+36705080602</f>
        <v>36705080602</v>
      </c>
      <c r="D1760" s="1">
        <v>1.0</v>
      </c>
      <c r="E1760" s="1">
        <v>2.0</v>
      </c>
      <c r="F1760" s="1">
        <v>16200.0</v>
      </c>
    </row>
    <row r="1761">
      <c r="A1761" s="1" t="s">
        <v>3604</v>
      </c>
      <c r="B1761" s="1" t="s">
        <v>3605</v>
      </c>
      <c r="C1761" s="15">
        <f>+36702516551</f>
        <v>36702516551</v>
      </c>
      <c r="D1761" s="1">
        <v>2.0</v>
      </c>
      <c r="E1761" s="1">
        <v>2.0</v>
      </c>
      <c r="F1761" s="1">
        <v>19800.0</v>
      </c>
    </row>
    <row r="1762">
      <c r="A1762" s="1" t="s">
        <v>3606</v>
      </c>
      <c r="B1762" s="1" t="s">
        <v>3607</v>
      </c>
      <c r="C1762" s="15">
        <f>+36703910800</f>
        <v>36703910800</v>
      </c>
      <c r="D1762" s="1">
        <v>2.0</v>
      </c>
      <c r="E1762" s="1">
        <v>2.0</v>
      </c>
      <c r="F1762" s="1">
        <v>19700.0</v>
      </c>
    </row>
    <row r="1763">
      <c r="A1763" s="1" t="s">
        <v>3608</v>
      </c>
      <c r="B1763" s="1" t="s">
        <v>3609</v>
      </c>
      <c r="C1763" s="15">
        <f>+36704272720</f>
        <v>36704272720</v>
      </c>
      <c r="D1763" s="1">
        <v>2.0</v>
      </c>
      <c r="E1763" s="1">
        <v>2.0</v>
      </c>
      <c r="F1763" s="1">
        <v>22200.0</v>
      </c>
    </row>
    <row r="1764">
      <c r="A1764" s="1" t="s">
        <v>3610</v>
      </c>
      <c r="B1764" s="1" t="s">
        <v>3611</v>
      </c>
      <c r="C1764" s="15">
        <f>+36202626628</f>
        <v>36202626628</v>
      </c>
      <c r="D1764" s="1">
        <v>1.0</v>
      </c>
      <c r="E1764" s="1">
        <v>2.0</v>
      </c>
      <c r="F1764" s="1">
        <v>14000.0</v>
      </c>
    </row>
    <row r="1765">
      <c r="A1765" s="1" t="s">
        <v>3612</v>
      </c>
      <c r="B1765" s="1" t="s">
        <v>3613</v>
      </c>
      <c r="C1765" s="15">
        <f>+36705375026</f>
        <v>36705375026</v>
      </c>
      <c r="D1765" s="1">
        <v>2.0</v>
      </c>
      <c r="E1765" s="1">
        <v>2.0</v>
      </c>
      <c r="F1765" s="1">
        <v>16200.0</v>
      </c>
    </row>
    <row r="1766">
      <c r="A1766" s="1" t="s">
        <v>3614</v>
      </c>
      <c r="B1766" s="1" t="s">
        <v>3615</v>
      </c>
      <c r="C1766" s="15">
        <f>+36309196666</f>
        <v>36309196666</v>
      </c>
      <c r="D1766" s="1">
        <v>1.0</v>
      </c>
      <c r="E1766" s="1">
        <v>2.0</v>
      </c>
      <c r="F1766" s="1">
        <v>21400.0</v>
      </c>
    </row>
    <row r="1767">
      <c r="A1767" s="1" t="s">
        <v>3616</v>
      </c>
      <c r="B1767" s="1" t="s">
        <v>3617</v>
      </c>
      <c r="C1767" s="15">
        <f>+36302547603</f>
        <v>36302547603</v>
      </c>
      <c r="D1767" s="1">
        <v>2.0</v>
      </c>
      <c r="E1767" s="1">
        <v>2.0</v>
      </c>
      <c r="F1767" s="1">
        <v>23600.0</v>
      </c>
    </row>
    <row r="1768">
      <c r="A1768" s="1" t="s">
        <v>3618</v>
      </c>
      <c r="B1768" s="1" t="s">
        <v>3619</v>
      </c>
      <c r="C1768" s="15">
        <f>+36304367560</f>
        <v>36304367560</v>
      </c>
      <c r="D1768" s="1">
        <v>2.0</v>
      </c>
      <c r="E1768" s="1">
        <v>2.0</v>
      </c>
      <c r="F1768" s="1">
        <v>17100.0</v>
      </c>
    </row>
    <row r="1769">
      <c r="A1769" s="1" t="s">
        <v>3620</v>
      </c>
      <c r="B1769" s="1" t="s">
        <v>3621</v>
      </c>
      <c r="C1769" s="15">
        <f>+36309123424</f>
        <v>36309123424</v>
      </c>
      <c r="D1769" s="1">
        <v>2.0</v>
      </c>
      <c r="E1769" s="1">
        <v>2.0</v>
      </c>
      <c r="F1769" s="1">
        <v>12100.0</v>
      </c>
    </row>
    <row r="1770">
      <c r="A1770" s="1" t="s">
        <v>3622</v>
      </c>
      <c r="B1770" s="1" t="s">
        <v>3623</v>
      </c>
      <c r="C1770" s="15">
        <f>+36209509911</f>
        <v>36209509911</v>
      </c>
      <c r="D1770" s="1">
        <v>1.0</v>
      </c>
      <c r="E1770" s="1">
        <v>2.0</v>
      </c>
      <c r="F1770" s="1">
        <v>17800.0</v>
      </c>
    </row>
    <row r="1771">
      <c r="A1771" s="1" t="s">
        <v>3624</v>
      </c>
      <c r="B1771" s="1" t="s">
        <v>3625</v>
      </c>
      <c r="C1771" s="15">
        <f>+36308157246</f>
        <v>36308157246</v>
      </c>
      <c r="D1771" s="1">
        <v>2.0</v>
      </c>
      <c r="E1771" s="1">
        <v>2.0</v>
      </c>
      <c r="F1771" s="1">
        <v>19800.0</v>
      </c>
    </row>
    <row r="1772">
      <c r="A1772" s="1" t="s">
        <v>3626</v>
      </c>
      <c r="B1772" s="1" t="s">
        <v>3627</v>
      </c>
      <c r="C1772" s="15">
        <f>+36305145775</f>
        <v>36305145775</v>
      </c>
      <c r="D1772" s="1">
        <v>2.0</v>
      </c>
      <c r="E1772" s="1">
        <v>2.0</v>
      </c>
      <c r="F1772" s="1">
        <v>20800.0</v>
      </c>
    </row>
    <row r="1773">
      <c r="A1773" s="1" t="s">
        <v>3628</v>
      </c>
      <c r="B1773" s="1" t="s">
        <v>3629</v>
      </c>
      <c r="C1773" s="15">
        <f>+36309340251</f>
        <v>36309340251</v>
      </c>
      <c r="D1773" s="1">
        <v>2.0</v>
      </c>
      <c r="E1773" s="1">
        <v>2.0</v>
      </c>
      <c r="F1773" s="1">
        <v>55700.0</v>
      </c>
    </row>
    <row r="1774">
      <c r="A1774" s="1" t="s">
        <v>3630</v>
      </c>
      <c r="B1774" s="1" t="s">
        <v>3631</v>
      </c>
      <c r="C1774" s="15">
        <f>+4917643664625</f>
        <v>4917643664625</v>
      </c>
      <c r="D1774" s="1">
        <v>2.0</v>
      </c>
      <c r="E1774" s="1">
        <v>2.0</v>
      </c>
      <c r="F1774" s="1">
        <v>31200.0</v>
      </c>
    </row>
    <row r="1775">
      <c r="A1775" s="1" t="s">
        <v>3632</v>
      </c>
      <c r="B1775" s="1" t="s">
        <v>3633</v>
      </c>
      <c r="C1775" s="15">
        <f>+36203450337</f>
        <v>36203450337</v>
      </c>
      <c r="D1775" s="1">
        <v>2.0</v>
      </c>
      <c r="E1775" s="1">
        <v>2.0</v>
      </c>
      <c r="F1775" s="1">
        <v>26000.0</v>
      </c>
    </row>
    <row r="1776">
      <c r="A1776" s="1" t="s">
        <v>3634</v>
      </c>
      <c r="B1776" s="1" t="s">
        <v>3635</v>
      </c>
      <c r="C1776" s="15">
        <f>+36705031085</f>
        <v>36705031085</v>
      </c>
      <c r="D1776" s="1">
        <v>2.0</v>
      </c>
      <c r="E1776" s="1">
        <v>2.0</v>
      </c>
      <c r="F1776" s="1">
        <v>21900.0</v>
      </c>
    </row>
    <row r="1777">
      <c r="A1777" s="1" t="s">
        <v>3636</v>
      </c>
      <c r="B1777" s="1" t="s">
        <v>3637</v>
      </c>
      <c r="C1777" s="15">
        <f>+36706049226</f>
        <v>36706049226</v>
      </c>
      <c r="D1777" s="1">
        <v>2.0</v>
      </c>
      <c r="E1777" s="1">
        <v>2.0</v>
      </c>
      <c r="F1777" s="1">
        <v>21400.0</v>
      </c>
    </row>
    <row r="1778">
      <c r="A1778" s="1" t="s">
        <v>3638</v>
      </c>
      <c r="B1778" s="1" t="s">
        <v>3639</v>
      </c>
      <c r="C1778" s="15">
        <f>+36203441748</f>
        <v>36203441748</v>
      </c>
      <c r="D1778" s="1">
        <v>2.0</v>
      </c>
      <c r="E1778" s="1">
        <v>2.0</v>
      </c>
      <c r="F1778" s="1">
        <v>13300.0</v>
      </c>
    </row>
  </sheetData>
  <drawing r:id="rId1"/>
</worksheet>
</file>